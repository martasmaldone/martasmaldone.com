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" sheetId="1" state="visible" r:id="rId3"/>
    <sheet name="Sim_Commercio" sheetId="2" state="visible" r:id="rId4"/>
    <sheet name="Sim_Artistico" sheetId="3" state="visible" r:id="rId5"/>
    <sheet name="Sim_Professionale" sheetId="4" state="visible" r:id="rId6"/>
    <sheet name="Transaction_Book" sheetId="5" state="visible" r:id="rId7"/>
    <sheet name="Dashboard" sheetId="6" state="visible" r:id="rId8"/>
    <sheet name="Instruc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<sst xmlns="http://schemas.openxmlformats.org/spreadsheetml/2006/main" count="398" uniqueCount="298">
  <si>
    <t xml:space="preserve">MARTA VENTURES — DETAILED SCHEDULE 2026 (v4.1)</t>
  </si>
  <si>
    <t xml:space="preserve">Week</t>
  </si>
  <si>
    <t xml:space="preserve">Date</t>
  </si>
  <si>
    <t xml:space="preserve">BU</t>
  </si>
  <si>
    <t xml:space="preserve">Milestone</t>
  </si>
  <si>
    <t xml:space="preserve">Action Items</t>
  </si>
  <si>
    <t xml:space="preserve">Budget</t>
  </si>
  <si>
    <t xml:space="preserve">Gate</t>
  </si>
  <si>
    <t xml:space="preserve">Status</t>
  </si>
  <si>
    <t xml:space="preserve">W1</t>
  </si>
  <si>
    <t xml:space="preserve">Jan 1-5</t>
  </si>
  <si>
    <t xml:space="preserve">ALL</t>
  </si>
  <si>
    <t xml:space="preserve">Autónomo Registration</t>
  </si>
  <si>
    <t xml:space="preserve">Hacienda + RETA (no padrón needed)</t>
  </si>
  <si>
    <t xml:space="preserve">€0</t>
  </si>
  <si>
    <t xml:space="preserve">G1</t>
  </si>
  <si>
    <t xml:space="preserve">W2</t>
  </si>
  <si>
    <t xml:space="preserve">Jan 6-12</t>
  </si>
  <si>
    <t xml:space="preserve">B</t>
  </si>
  <si>
    <t xml:space="preserve">Digital Presence</t>
  </si>
  <si>
    <t xml:space="preserve">Website + Instagram live</t>
  </si>
  <si>
    <t xml:space="preserve">€150</t>
  </si>
  <si>
    <t xml:space="preserve">B1</t>
  </si>
  <si>
    <t xml:space="preserve">W3</t>
  </si>
  <si>
    <t xml:space="preserve">Jan 13-19</t>
  </si>
  <si>
    <t xml:space="preserve">Print Production</t>
  </si>
  <si>
    <t xml:space="preserve">Order initial prints (20 pcs)</t>
  </si>
  <si>
    <t xml:space="preserve">€300</t>
  </si>
  <si>
    <t xml:space="preserve">W4</t>
  </si>
  <si>
    <t xml:space="preserve">Jan 20-26</t>
  </si>
  <si>
    <t xml:space="preserve">A</t>
  </si>
  <si>
    <t xml:space="preserve">Trip Planning</t>
  </si>
  <si>
    <t xml:space="preserve">Book Mexico flights + hotels</t>
  </si>
  <si>
    <t xml:space="preserve">W5</t>
  </si>
  <si>
    <t xml:space="preserve">Jan 27-31</t>
  </si>
  <si>
    <t xml:space="preserve">Housing + Padrón</t>
  </si>
  <si>
    <t xml:space="preserve">Sign contract, empadronamiento</t>
  </si>
  <si>
    <t xml:space="preserve">W6</t>
  </si>
  <si>
    <t xml:space="preserve">Feb 1-7</t>
  </si>
  <si>
    <t xml:space="preserve">Healthcare + Gestor</t>
  </si>
  <si>
    <t xml:space="preserve">TSI card, contract gestor</t>
  </si>
  <si>
    <t xml:space="preserve">€80</t>
  </si>
  <si>
    <t xml:space="preserve">W7</t>
  </si>
  <si>
    <t xml:space="preserve">Feb 8-14</t>
  </si>
  <si>
    <t xml:space="preserve">Travel to Mexico</t>
  </si>
  <si>
    <t xml:space="preserve">Depart Barcelona Feb 14</t>
  </si>
  <si>
    <t xml:space="preserve">W8</t>
  </si>
  <si>
    <t xml:space="preserve">Feb 15-21</t>
  </si>
  <si>
    <t xml:space="preserve">OAXACA SOURCING</t>
  </si>
  <si>
    <t xml:space="preserve">Alebrijes, textiles, pottery</t>
  </si>
  <si>
    <t xml:space="preserve">€1,100</t>
  </si>
  <si>
    <t xml:space="preserve">A2</t>
  </si>
  <si>
    <t xml:space="preserve">W9</t>
  </si>
  <si>
    <t xml:space="preserve">Feb 22-28</t>
  </si>
  <si>
    <t xml:space="preserve">PUEBLA + CDMX</t>
  </si>
  <si>
    <t xml:space="preserve">Talavera, books, return</t>
  </si>
  <si>
    <t xml:space="preserve">W10</t>
  </si>
  <si>
    <t xml:space="preserve">Mar 1-3</t>
  </si>
  <si>
    <t xml:space="preserve">Inventory Processing</t>
  </si>
  <si>
    <t xml:space="preserve">Photo, price, tag all items</t>
  </si>
  <si>
    <t xml:space="preserve">Mar 4-8</t>
  </si>
  <si>
    <t xml:space="preserve">ARCO Madrid</t>
  </si>
  <si>
    <t xml:space="preserve">Gallery networking</t>
  </si>
  <si>
    <t xml:space="preserve">€350</t>
  </si>
  <si>
    <t xml:space="preserve">W11</t>
  </si>
  <si>
    <t xml:space="preserve">Mar 9-14</t>
  </si>
  <si>
    <t xml:space="preserve">A/B</t>
  </si>
  <si>
    <t xml:space="preserve">Market Prep</t>
  </si>
  <si>
    <t xml:space="preserve">Display setup, permits</t>
  </si>
  <si>
    <t xml:space="preserve">€160</t>
  </si>
  <si>
    <t xml:space="preserve">W12</t>
  </si>
  <si>
    <t xml:space="preserve">Mar 15</t>
  </si>
  <si>
    <t xml:space="preserve">FIRST MARKET</t>
  </si>
  <si>
    <t xml:space="preserve">Sant Antoni launch</t>
  </si>
  <si>
    <t xml:space="preserve">A3/B2/G2</t>
  </si>
  <si>
    <t xml:space="preserve">W13</t>
  </si>
  <si>
    <t xml:space="preserve">Mar 16-22</t>
  </si>
  <si>
    <t xml:space="preserve">Second Market</t>
  </si>
  <si>
    <t xml:space="preserve">Try Els Encants</t>
  </si>
  <si>
    <t xml:space="preserve">€100</t>
  </si>
  <si>
    <t xml:space="preserve">W14</t>
  </si>
  <si>
    <t xml:space="preserve">Mar 23-31</t>
  </si>
  <si>
    <t xml:space="preserve">Q1 Review</t>
  </si>
  <si>
    <t xml:space="preserve">Financial review, adjust</t>
  </si>
  <si>
    <t xml:space="preserve">G2</t>
  </si>
  <si>
    <t xml:space="preserve">W15-17</t>
  </si>
  <si>
    <t xml:space="preserve">Apr 1-21</t>
  </si>
  <si>
    <t xml:space="preserve">April Markets</t>
  </si>
  <si>
    <t xml:space="preserve">Regular schedule</t>
  </si>
  <si>
    <t xml:space="preserve">B3</t>
  </si>
  <si>
    <t xml:space="preserve">W18-21</t>
  </si>
  <si>
    <t xml:space="preserve">Apr 22-May 31</t>
  </si>
  <si>
    <t xml:space="preserve">Build Momentum</t>
  </si>
  <si>
    <t xml:space="preserve">Gallery outreach</t>
  </si>
  <si>
    <t xml:space="preserve">€400</t>
  </si>
  <si>
    <t xml:space="preserve">W22-26</t>
  </si>
  <si>
    <t xml:space="preserve">Jun 1-30</t>
  </si>
  <si>
    <t xml:space="preserve">PEAK SEASON</t>
  </si>
  <si>
    <t xml:space="preserve">Maximum presence</t>
  </si>
  <si>
    <t xml:space="preserve">G4/A4/B4</t>
  </si>
  <si>
    <t xml:space="preserve">PLAN A: COMMERCIO — Revenue Simulator</t>
  </si>
  <si>
    <t xml:space="preserve">Enter your actual inventory items and costs below (blue cells = input)</t>
  </si>
  <si>
    <t xml:space="preserve">Item</t>
  </si>
  <si>
    <t xml:space="preserve">Category</t>
  </si>
  <si>
    <t xml:space="preserve">Cost (€)</t>
  </si>
  <si>
    <t xml:space="preserve">Sell Price (€)</t>
  </si>
  <si>
    <t xml:space="preserve">Qty</t>
  </si>
  <si>
    <t xml:space="preserve">Total Cost</t>
  </si>
  <si>
    <t xml:space="preserve">Total Revenue</t>
  </si>
  <si>
    <t xml:space="preserve">Margin %</t>
  </si>
  <si>
    <t xml:space="preserve">Alebrije - Jaguar</t>
  </si>
  <si>
    <t xml:space="preserve">Alebrijes</t>
  </si>
  <si>
    <t xml:space="preserve">Alebrije - Dragon</t>
  </si>
  <si>
    <t xml:space="preserve">Talavera Plate Large</t>
  </si>
  <si>
    <t xml:space="preserve">Ceramics</t>
  </si>
  <si>
    <t xml:space="preserve">Talavera Vase</t>
  </si>
  <si>
    <t xml:space="preserve">Rebozo Traditional</t>
  </si>
  <si>
    <t xml:space="preserve">Textiles</t>
  </si>
  <si>
    <t xml:space="preserve">Embroidered Blouse</t>
  </si>
  <si>
    <t xml:space="preserve">Art Book - Frida</t>
  </si>
  <si>
    <t xml:space="preserve">Books</t>
  </si>
  <si>
    <t xml:space="preserve">Art Book - Oaxaca</t>
  </si>
  <si>
    <t xml:space="preserve">SUMMARY</t>
  </si>
  <si>
    <t xml:space="preserve">Total Items</t>
  </si>
  <si>
    <t xml:space="preserve">Total Quantity</t>
  </si>
  <si>
    <t xml:space="preserve">Total Revenue (if all sold)</t>
  </si>
  <si>
    <t xml:space="preserve">Average Margin</t>
  </si>
  <si>
    <t xml:space="preserve">Gross Profit (if all sold)</t>
  </si>
  <si>
    <t xml:space="preserve">MONTHLY PROJECTION</t>
  </si>
  <si>
    <t xml:space="preserve">Sell-through rate/month (%):</t>
  </si>
  <si>
    <t xml:space="preserve">Stall fees/month:</t>
  </si>
  <si>
    <t xml:space="preserve">Est. Monthly Revenue:</t>
  </si>
  <si>
    <t xml:space="preserve">Est. Monthly Gross Profit:</t>
  </si>
  <si>
    <t xml:space="preserve">PLAN B: ARTISTICO — Revenue Simulator</t>
  </si>
  <si>
    <t xml:space="preserve">Enter your prints and services below</t>
  </si>
  <si>
    <t xml:space="preserve">Print Name</t>
  </si>
  <si>
    <t xml:space="preserve">Size</t>
  </si>
  <si>
    <t xml:space="preserve">Print Cost (€)</t>
  </si>
  <si>
    <t xml:space="preserve">Qty Available</t>
  </si>
  <si>
    <t xml:space="preserve">Potential Revenue</t>
  </si>
  <si>
    <t xml:space="preserve">Barcelona Gothic</t>
  </si>
  <si>
    <t xml:space="preserve">A3</t>
  </si>
  <si>
    <t xml:space="preserve">Oaxaca Colors</t>
  </si>
  <si>
    <t xml:space="preserve">Mexico City Night</t>
  </si>
  <si>
    <t xml:space="preserve">Portrait Series #1</t>
  </si>
  <si>
    <t xml:space="preserve">Limited Edition #1</t>
  </si>
  <si>
    <t xml:space="preserve">Large</t>
  </si>
  <si>
    <t xml:space="preserve">SERVICES (Optional)</t>
  </si>
  <si>
    <t xml:space="preserve">Service</t>
  </si>
  <si>
    <t xml:space="preserve">Price (€)</t>
  </si>
  <si>
    <t xml:space="preserve">Est. Jobs/Month</t>
  </si>
  <si>
    <t xml:space="preserve">Monthly Revenue</t>
  </si>
  <si>
    <t xml:space="preserve">Family Portrait Session</t>
  </si>
  <si>
    <t xml:space="preserve">Event Photography</t>
  </si>
  <si>
    <t xml:space="preserve">Corporate Headshots</t>
  </si>
  <si>
    <t xml:space="preserve">Print sales/month (%):</t>
  </si>
  <si>
    <t xml:space="preserve">Print Revenue/month:</t>
  </si>
  <si>
    <t xml:space="preserve">Service Revenue/month:</t>
  </si>
  <si>
    <t xml:space="preserve">Total Est. Revenue/month:</t>
  </si>
  <si>
    <t xml:space="preserve">PLAN C: PROFESSIONALE — Revenue Simulator (Optional)</t>
  </si>
  <si>
    <t xml:space="preserve">Use this to project film lab revenue IF you activate this business line</t>
  </si>
  <si>
    <t xml:space="preserve">Cost/Unit (€)</t>
  </si>
  <si>
    <t xml:space="preserve">Est. Rolls/Month</t>
  </si>
  <si>
    <t xml:space="preserve">Monthly Cost</t>
  </si>
  <si>
    <t xml:space="preserve">Gross Profit</t>
  </si>
  <si>
    <t xml:space="preserve">B&amp;W Develop + Scan</t>
  </si>
  <si>
    <t xml:space="preserve">C-41 Develop + Scan</t>
  </si>
  <si>
    <t xml:space="preserve">E-6 Develop + Scan</t>
  </si>
  <si>
    <t xml:space="preserve">Rush Service (+50%)</t>
  </si>
  <si>
    <t xml:space="preserve">WORKSHOPS</t>
  </si>
  <si>
    <t xml:space="preserve">Workshop</t>
  </si>
  <si>
    <t xml:space="preserve">Price/Person</t>
  </si>
  <si>
    <t xml:space="preserve">Attendees</t>
  </si>
  <si>
    <t xml:space="preserve">Sessions/Month</t>
  </si>
  <si>
    <t xml:space="preserve">Intro to Film</t>
  </si>
  <si>
    <t xml:space="preserve">Photo Walk</t>
  </si>
  <si>
    <t xml:space="preserve">Darkroom Basics</t>
  </si>
  <si>
    <t xml:space="preserve">MONTHLY SUMMARY</t>
  </si>
  <si>
    <t xml:space="preserve">Lab Revenue:</t>
  </si>
  <si>
    <t xml:space="preserve">Lab Costs:</t>
  </si>
  <si>
    <t xml:space="preserve">Workshop Revenue:</t>
  </si>
  <si>
    <t xml:space="preserve">Total Revenue:</t>
  </si>
  <si>
    <t xml:space="preserve">Total Gross Profit:</t>
  </si>
  <si>
    <t xml:space="preserve">MARTA VENTURES — TRANSACTION BOOK (v4.1)</t>
  </si>
  <si>
    <t xml:space="preserve">Record ALL income and expenses here. This is your financial truth.</t>
  </si>
  <si>
    <t xml:space="preserve">Type</t>
  </si>
  <si>
    <t xml:space="preserve">Description</t>
  </si>
  <si>
    <t xml:space="preserve">Income (€)</t>
  </si>
  <si>
    <t xml:space="preserve">Expense (€)</t>
  </si>
  <si>
    <t xml:space="preserve">Balance</t>
  </si>
  <si>
    <t xml:space="preserve">Notes</t>
  </si>
  <si>
    <t xml:space="preserve">2026-01-01</t>
  </si>
  <si>
    <t xml:space="preserve">OPENING</t>
  </si>
  <si>
    <t xml:space="preserve">Capital</t>
  </si>
  <si>
    <t xml:space="preserve">Initial Capital</t>
  </si>
  <si>
    <t xml:space="preserve">Starting balance</t>
  </si>
  <si>
    <t xml:space="preserve">2026-01-03</t>
  </si>
  <si>
    <t xml:space="preserve">EXPENSE</t>
  </si>
  <si>
    <t xml:space="preserve">Setup</t>
  </si>
  <si>
    <t xml:space="preserve">Website domain + hosting</t>
  </si>
  <si>
    <t xml:space="preserve">2026-01-05</t>
  </si>
  <si>
    <t xml:space="preserve">Business cards</t>
  </si>
  <si>
    <t xml:space="preserve">2026-01-18</t>
  </si>
  <si>
    <t xml:space="preserve">Inventory</t>
  </si>
  <si>
    <t xml:space="preserve">Print batch #1 (20 prints)</t>
  </si>
  <si>
    <t xml:space="preserve">2026-02-01</t>
  </si>
  <si>
    <t xml:space="preserve">Operating</t>
  </si>
  <si>
    <t xml:space="preserve">Social Security (Feb)</t>
  </si>
  <si>
    <t xml:space="preserve">Gestor (Feb)</t>
  </si>
  <si>
    <t xml:space="preserve">2026-02-14</t>
  </si>
  <si>
    <t xml:space="preserve">Travel</t>
  </si>
  <si>
    <t xml:space="preserve">Mexico flights</t>
  </si>
  <si>
    <t xml:space="preserve">2026-02-15</t>
  </si>
  <si>
    <t xml:space="preserve">Mexico hotels</t>
  </si>
  <si>
    <t xml:space="preserve">2026-02-28</t>
  </si>
  <si>
    <t xml:space="preserve">Mexico sourcing - Oaxaca</t>
  </si>
  <si>
    <t xml:space="preserve">Mexico sourcing - Puebla</t>
  </si>
  <si>
    <t xml:space="preserve">Mexico sourcing - books</t>
  </si>
  <si>
    <t xml:space="preserve">2026-03-01</t>
  </si>
  <si>
    <t xml:space="preserve">Social Security (Mar)</t>
  </si>
  <si>
    <t xml:space="preserve">Gestor (Mar)</t>
  </si>
  <si>
    <t xml:space="preserve">2026-03-06</t>
  </si>
  <si>
    <t xml:space="preserve">Marketing</t>
  </si>
  <si>
    <t xml:space="preserve">ARCO Madrid trip</t>
  </si>
  <si>
    <t xml:space="preserve">2026-03-12</t>
  </si>
  <si>
    <t xml:space="preserve">Display equipment</t>
  </si>
  <si>
    <t xml:space="preserve">2026-03-15</t>
  </si>
  <si>
    <t xml:space="preserve">Sant Antoni stall fee</t>
  </si>
  <si>
    <t xml:space="preserve">INCOME</t>
  </si>
  <si>
    <t xml:space="preserve">Sales</t>
  </si>
  <si>
    <t xml:space="preserve">Market - alebrije x2</t>
  </si>
  <si>
    <t xml:space="preserve">Market - print A3</t>
  </si>
  <si>
    <t xml:space="preserve">MARTA VENTURES — FINANCIAL DASHBOARD (v4.1)</t>
  </si>
  <si>
    <t xml:space="preserve">SUMMARY BY BUSINESS UNIT</t>
  </si>
  <si>
    <t xml:space="preserve">Business Unit</t>
  </si>
  <si>
    <t xml:space="preserve">Total Income</t>
  </si>
  <si>
    <t xml:space="preserve">Total Expenses</t>
  </si>
  <si>
    <t xml:space="preserve">Net</t>
  </si>
  <si>
    <t xml:space="preserve">Remaining</t>
  </si>
  <si>
    <t xml:space="preserve">A - Commercio</t>
  </si>
  <si>
    <t xml:space="preserve">B - Artistico</t>
  </si>
  <si>
    <t xml:space="preserve">C - Professionale</t>
  </si>
  <si>
    <t xml:space="preserve">ALL - Shared</t>
  </si>
  <si>
    <t xml:space="preserve">TOTAL</t>
  </si>
  <si>
    <t xml:space="preserve">KEY METRICS</t>
  </si>
  <si>
    <t xml:space="preserve">Current Balance</t>
  </si>
  <si>
    <t xml:space="preserve">Global Reserve Target</t>
  </si>
  <si>
    <t xml:space="preserve">Reserve Status</t>
  </si>
  <si>
    <t xml:space="preserve">Total Income YTD</t>
  </si>
  <si>
    <t xml:space="preserve">Total Expenses YTD</t>
  </si>
  <si>
    <t xml:space="preserve">Net Profit/Loss</t>
  </si>
  <si>
    <t xml:space="preserve">GATE STATUS (Update Manually)</t>
  </si>
  <si>
    <t xml:space="preserve">Target Date</t>
  </si>
  <si>
    <t xml:space="preserve">G1: Launch</t>
  </si>
  <si>
    <t xml:space="preserve">Jan 5</t>
  </si>
  <si>
    <t xml:space="preserve">G2: First Revenue</t>
  </si>
  <si>
    <t xml:space="preserve">Mar 31</t>
  </si>
  <si>
    <t xml:space="preserve">A2: Mexico Trip</t>
  </si>
  <si>
    <t xml:space="preserve">Feb 28</t>
  </si>
  <si>
    <t xml:space="preserve">B1: Portfolio</t>
  </si>
  <si>
    <t xml:space="preserve">Jan 12</t>
  </si>
  <si>
    <t xml:space="preserve">A3/B2: First Market</t>
  </si>
  <si>
    <t xml:space="preserve">HOW TO USE THIS WORKBOOK</t>
  </si>
  <si>
    <t xml:space="preserve">BLUE CELLS = INPUT (you fill these in)</t>
  </si>
  <si>
    <t xml:space="preserve">WHITE CELLS = FORMULAS (don't edit)</t>
  </si>
  <si>
    <t xml:space="preserve">GREEN CELLS = KEY TOTALS</t>
  </si>
  <si>
    <t xml:space="preserve">═══════════════════════════════════════════════════════════</t>
  </si>
  <si>
    <t xml:space="preserve">SCHEDULE TAB:</t>
  </si>
  <si>
    <t xml:space="preserve">• Track progress against the plan</t>
  </si>
  <si>
    <t xml:space="preserve">• Update Status column as you complete items</t>
  </si>
  <si>
    <t xml:space="preserve">• Use dropdowns: NOT STARTED, IN PROGRESS, DONE, BLOCKED</t>
  </si>
  <si>
    <t xml:space="preserve">SIMULATOR TABS (Sim_Commercio, Sim_Artistico, Sim_Professionale):</t>
  </si>
  <si>
    <t xml:space="preserve">• Enter your ACTUAL items with real costs and prices</t>
  </si>
  <si>
    <t xml:space="preserve">• Simulator calculates margins and projections</t>
  </si>
  <si>
    <t xml:space="preserve">• Use this BEFORE buying to validate margins</t>
  </si>
  <si>
    <t xml:space="preserve">• Update quantities as you sell items</t>
  </si>
  <si>
    <t xml:space="preserve">TRANSACTION BOOK TAB:</t>
  </si>
  <si>
    <t xml:space="preserve">• Record EVERY transaction (income and expense)</t>
  </si>
  <si>
    <t xml:space="preserve">• Use dropdowns for BU (A, B, C, ALL) and Type (INCOME, EXPENSE)</t>
  </si>
  <si>
    <t xml:space="preserve">• Balance updates automatically</t>
  </si>
  <si>
    <t xml:space="preserve">• This is your single source of financial truth</t>
  </si>
  <si>
    <t xml:space="preserve">DASHBOARD TAB:</t>
  </si>
  <si>
    <t xml:space="preserve">• Automatic summary from Transaction Book</t>
  </si>
  <si>
    <t xml:space="preserve">• Shows income/expense by business unit</t>
  </si>
  <si>
    <t xml:space="preserve">• Update Gate Status manually</t>
  </si>
  <si>
    <t xml:space="preserve">• Check Reserve Status regularly</t>
  </si>
  <si>
    <t xml:space="preserve">WEEKLY ROUTINE:</t>
  </si>
  <si>
    <t xml:space="preserve">1. Record all transactions in Transaction Book</t>
  </si>
  <si>
    <t xml:space="preserve">2. Check Dashboard for balance and gate status</t>
  </si>
  <si>
    <t xml:space="preserve">3. Update Schedule status</t>
  </si>
  <si>
    <t xml:space="preserve">MONTHLY ROUTINE:</t>
  </si>
  <si>
    <t xml:space="preserve">1. Review Dashboard totals vs budget</t>
  </si>
  <si>
    <t xml:space="preserve">2. Update simulators with actual inventory</t>
  </si>
  <si>
    <t xml:space="preserve">3. Check gates due this month</t>
  </si>
  <si>
    <t xml:space="preserve">QUARTERLY ROUTINE:</t>
  </si>
  <si>
    <t xml:space="preserve">1. Full gate review</t>
  </si>
  <si>
    <t xml:space="preserve">2. Compare actual vs projected</t>
  </si>
  <si>
    <t xml:space="preserve">3. Adjust simulators for next quarter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</si>
</sst>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202C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4"/>
      <color rgb="FFC05621"/>
      <name val="Cambria"/>
      <family val="0"/>
      <charset val="1"/>
    </font>
    <font>
      <i val="true"/>
      <sz val="10"/>
      <name val="Cambria"/>
      <family val="0"/>
      <charset val="1"/>
    </font>
    <font>
      <sz val="10"/>
      <color rgb="FF0000FF"/>
      <name val="Cambria"/>
      <family val="0"/>
      <charset val="1"/>
    </font>
    <font>
      <sz val="10"/>
      <color rgb="FF00000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6B46C1"/>
      <name val="Cambria"/>
      <family val="0"/>
      <charset val="1"/>
    </font>
    <font>
      <b val="true"/>
      <sz val="14"/>
      <color rgb="FF2B6CB0"/>
      <name val="Cambria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202C"/>
        <bgColor rgb="FF333300"/>
      </patternFill>
    </fill>
    <fill>
      <patternFill patternType="solid">
        <fgColor rgb="FFE2E8F0"/>
        <bgColor rgb="FFE9D8FD"/>
      </patternFill>
    </fill>
    <fill>
      <patternFill patternType="solid">
        <fgColor rgb="FFFFFFD0"/>
        <bgColor rgb="FFFFFFFF"/>
      </patternFill>
    </fill>
    <fill>
      <patternFill patternType="solid">
        <fgColor rgb="FFE9D8FD"/>
        <bgColor rgb="FFE2E8F0"/>
      </patternFill>
    </fill>
    <fill>
      <patternFill patternType="solid">
        <fgColor rgb="FFFEEBC8"/>
        <bgColor rgb="FFFFFFD0"/>
      </patternFill>
    </fill>
    <fill>
      <patternFill patternType="solid">
        <fgColor rgb="FFC6F6D5"/>
        <bgColor rgb="FFBEE3F8"/>
      </patternFill>
    </fill>
    <fill>
      <patternFill patternType="solid">
        <fgColor rgb="FFBEE3F8"/>
        <bgColor rgb="FFCBD5E0"/>
      </patternFill>
    </fill>
    <fill>
      <patternFill patternType="solid">
        <fgColor rgb="FFC05621"/>
        <bgColor rgb="FFFF6600"/>
      </patternFill>
    </fill>
    <fill>
      <patternFill patternType="solid">
        <fgColor rgb="FF6B46C1"/>
        <bgColor rgb="FF333399"/>
      </patternFill>
    </fill>
    <fill>
      <patternFill patternType="solid">
        <fgColor rgb="FF2B6CB0"/>
        <bgColor rgb="FF3366FF"/>
      </patternFill>
    </fill>
    <fill>
      <patternFill patternType="solid">
        <fgColor rgb="FFFED7D7"/>
        <bgColor rgb="FFFEEBC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9D8FD"/>
      <rgbColor rgb="FF808080"/>
      <rgbColor rgb="FF9999FF"/>
      <rgbColor rgb="FF993366"/>
      <rgbColor rgb="FFFFFFD0"/>
      <rgbColor rgb="FFE2E8F0"/>
      <rgbColor rgb="FF660066"/>
      <rgbColor rgb="FFFF8080"/>
      <rgbColor rgb="FF2B6CB0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EE3F8"/>
      <rgbColor rgb="FFC6F6D5"/>
      <rgbColor rgb="FFFEEBC8"/>
      <rgbColor rgb="FF99CCFF"/>
      <rgbColor rgb="FFFF99CC"/>
      <rgbColor rgb="FFCC99FF"/>
      <rgbColor rgb="FFFED7D7"/>
      <rgbColor rgb="FF3366FF"/>
      <rgbColor rgb="FF33CCCC"/>
      <rgbColor rgb="FF99CC00"/>
      <rgbColor rgb="FFFFCC00"/>
      <rgbColor rgb="FFFF9900"/>
      <rgbColor rgb="FFFF6600"/>
      <rgbColor rgb="FF6B46C1"/>
      <rgbColor rgb="FF969696"/>
      <rgbColor rgb="FF003366"/>
      <rgbColor rgb="FF339966"/>
      <rgbColor rgb="FF003300"/>
      <rgbColor rgb="FF333300"/>
      <rgbColor rgb="FFC05621"/>
      <rgbColor rgb="FF993366"/>
      <rgbColor rgb="FF333399"/>
      <rgbColor rgb="FF1A20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6"/>
    <col collapsed="false" customWidth="true" hidden="false" outlineLevel="0" max="4" min="4" style="1" width="22"/>
    <col collapsed="false" customWidth="true" hidden="false" outlineLevel="0" max="5" min="5" style="1" width="30"/>
    <col collapsed="false" customWidth="true" hidden="false" outlineLevel="0" max="7" min="6" style="1" width="10"/>
    <col collapsed="false" customWidth="true" hidden="false" outlineLevel="0" max="8" min="8" style="1" width="12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customFormat="false" ht="15" hidden="false" customHeight="true" outlineLevel="0" collapsed="false">
      <c r="A4" s="4" t="s">
        <v>9</v>
      </c>
      <c r="B4" s="4" t="s">
        <v>10</v>
      </c>
      <c r="C4" s="5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6"/>
    </row>
    <row r="5" customFormat="false" ht="15" hidden="false" customHeight="true" outlineLevel="0" collapsed="false">
      <c r="A5" s="4" t="s">
        <v>16</v>
      </c>
      <c r="B5" s="4" t="s">
        <v>17</v>
      </c>
      <c r="C5" s="7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6"/>
    </row>
    <row r="6" customFormat="false" ht="15" hidden="false" customHeight="true" outlineLevel="0" collapsed="false">
      <c r="A6" s="4" t="s">
        <v>23</v>
      </c>
      <c r="B6" s="4" t="s">
        <v>24</v>
      </c>
      <c r="C6" s="7" t="s">
        <v>18</v>
      </c>
      <c r="D6" s="4" t="s">
        <v>25</v>
      </c>
      <c r="E6" s="4" t="s">
        <v>26</v>
      </c>
      <c r="F6" s="4" t="s">
        <v>27</v>
      </c>
      <c r="G6" s="4" t="s">
        <v>22</v>
      </c>
      <c r="H6" s="6"/>
    </row>
    <row r="7" customFormat="false" ht="15" hidden="false" customHeight="true" outlineLevel="0" collapsed="false">
      <c r="A7" s="4" t="s">
        <v>28</v>
      </c>
      <c r="B7" s="4" t="s">
        <v>29</v>
      </c>
      <c r="C7" s="8" t="s">
        <v>30</v>
      </c>
      <c r="D7" s="4" t="s">
        <v>31</v>
      </c>
      <c r="E7" s="4" t="s">
        <v>32</v>
      </c>
      <c r="F7" s="4" t="s">
        <v>14</v>
      </c>
      <c r="G7" s="4"/>
      <c r="H7" s="6"/>
    </row>
    <row r="8" customFormat="false" ht="15" hidden="false" customHeight="true" outlineLevel="0" collapsed="false">
      <c r="A8" s="4" t="s">
        <v>33</v>
      </c>
      <c r="B8" s="4" t="s">
        <v>34</v>
      </c>
      <c r="C8" s="5" t="s">
        <v>11</v>
      </c>
      <c r="D8" s="4" t="s">
        <v>35</v>
      </c>
      <c r="E8" s="4" t="s">
        <v>36</v>
      </c>
      <c r="F8" s="4" t="s">
        <v>14</v>
      </c>
      <c r="G8" s="4"/>
      <c r="H8" s="6"/>
    </row>
    <row r="9" customFormat="false" ht="15" hidden="false" customHeight="true" outlineLevel="0" collapsed="false">
      <c r="A9" s="4" t="s">
        <v>37</v>
      </c>
      <c r="B9" s="4" t="s">
        <v>38</v>
      </c>
      <c r="C9" s="5" t="s">
        <v>11</v>
      </c>
      <c r="D9" s="4" t="s">
        <v>39</v>
      </c>
      <c r="E9" s="4" t="s">
        <v>40</v>
      </c>
      <c r="F9" s="4" t="s">
        <v>41</v>
      </c>
      <c r="G9" s="4"/>
      <c r="H9" s="6"/>
    </row>
    <row r="10" customFormat="false" ht="15" hidden="false" customHeight="true" outlineLevel="0" collapsed="false">
      <c r="A10" s="4" t="s">
        <v>42</v>
      </c>
      <c r="B10" s="4" t="s">
        <v>43</v>
      </c>
      <c r="C10" s="5" t="s">
        <v>11</v>
      </c>
      <c r="D10" s="4" t="s">
        <v>44</v>
      </c>
      <c r="E10" s="4" t="s">
        <v>45</v>
      </c>
      <c r="F10" s="4" t="s">
        <v>14</v>
      </c>
      <c r="G10" s="4"/>
      <c r="H10" s="6"/>
    </row>
    <row r="11" customFormat="false" ht="15" hidden="false" customHeight="true" outlineLevel="0" collapsed="false">
      <c r="A11" s="4" t="s">
        <v>46</v>
      </c>
      <c r="B11" s="4" t="s">
        <v>47</v>
      </c>
      <c r="C11" s="8" t="s">
        <v>30</v>
      </c>
      <c r="D11" s="4" t="s">
        <v>48</v>
      </c>
      <c r="E11" s="4" t="s">
        <v>49</v>
      </c>
      <c r="F11" s="4" t="s">
        <v>50</v>
      </c>
      <c r="G11" s="4" t="s">
        <v>51</v>
      </c>
      <c r="H11" s="6"/>
    </row>
    <row r="12" customFormat="false" ht="15" hidden="false" customHeight="true" outlineLevel="0" collapsed="false">
      <c r="A12" s="4" t="s">
        <v>52</v>
      </c>
      <c r="B12" s="4" t="s">
        <v>53</v>
      </c>
      <c r="C12" s="8" t="s">
        <v>30</v>
      </c>
      <c r="D12" s="4" t="s">
        <v>54</v>
      </c>
      <c r="E12" s="4" t="s">
        <v>55</v>
      </c>
      <c r="F12" s="4" t="s">
        <v>50</v>
      </c>
      <c r="G12" s="4" t="s">
        <v>51</v>
      </c>
      <c r="H12" s="6"/>
    </row>
    <row r="13" customFormat="false" ht="15" hidden="false" customHeight="true" outlineLevel="0" collapsed="false">
      <c r="A13" s="4" t="s">
        <v>56</v>
      </c>
      <c r="B13" s="4" t="s">
        <v>57</v>
      </c>
      <c r="C13" s="8" t="s">
        <v>30</v>
      </c>
      <c r="D13" s="4" t="s">
        <v>58</v>
      </c>
      <c r="E13" s="4" t="s">
        <v>59</v>
      </c>
      <c r="F13" s="4" t="s">
        <v>14</v>
      </c>
      <c r="G13" s="4"/>
      <c r="H13" s="6"/>
    </row>
    <row r="14" customFormat="false" ht="15" hidden="false" customHeight="true" outlineLevel="0" collapsed="false">
      <c r="A14" s="4" t="s">
        <v>56</v>
      </c>
      <c r="B14" s="4" t="s">
        <v>60</v>
      </c>
      <c r="C14" s="5" t="s">
        <v>11</v>
      </c>
      <c r="D14" s="4" t="s">
        <v>61</v>
      </c>
      <c r="E14" s="4" t="s">
        <v>62</v>
      </c>
      <c r="F14" s="4" t="s">
        <v>63</v>
      </c>
      <c r="G14" s="4"/>
      <c r="H14" s="6"/>
    </row>
    <row r="15" customFormat="false" ht="15" hidden="false" customHeight="true" outlineLevel="0" collapsed="false">
      <c r="A15" s="4" t="s">
        <v>64</v>
      </c>
      <c r="B15" s="4" t="s">
        <v>65</v>
      </c>
      <c r="C15" s="9" t="s">
        <v>66</v>
      </c>
      <c r="D15" s="4" t="s">
        <v>67</v>
      </c>
      <c r="E15" s="4" t="s">
        <v>68</v>
      </c>
      <c r="F15" s="4" t="s">
        <v>69</v>
      </c>
      <c r="G15" s="4"/>
      <c r="H15" s="6"/>
    </row>
    <row r="16" customFormat="false" ht="15" hidden="false" customHeight="true" outlineLevel="0" collapsed="false">
      <c r="A16" s="4" t="s">
        <v>70</v>
      </c>
      <c r="B16" s="4" t="s">
        <v>71</v>
      </c>
      <c r="C16" s="9" t="s">
        <v>66</v>
      </c>
      <c r="D16" s="4" t="s">
        <v>72</v>
      </c>
      <c r="E16" s="4" t="s">
        <v>73</v>
      </c>
      <c r="F16" s="4" t="s">
        <v>21</v>
      </c>
      <c r="G16" s="4" t="s">
        <v>74</v>
      </c>
      <c r="H16" s="6"/>
    </row>
    <row r="17" customFormat="false" ht="15" hidden="false" customHeight="true" outlineLevel="0" collapsed="false">
      <c r="A17" s="4" t="s">
        <v>75</v>
      </c>
      <c r="B17" s="4" t="s">
        <v>76</v>
      </c>
      <c r="C17" s="9" t="s">
        <v>66</v>
      </c>
      <c r="D17" s="4" t="s">
        <v>77</v>
      </c>
      <c r="E17" s="4" t="s">
        <v>78</v>
      </c>
      <c r="F17" s="4" t="s">
        <v>79</v>
      </c>
      <c r="G17" s="4"/>
      <c r="H17" s="6"/>
    </row>
    <row r="18" customFormat="false" ht="15" hidden="false" customHeight="true" outlineLevel="0" collapsed="false">
      <c r="A18" s="4" t="s">
        <v>80</v>
      </c>
      <c r="B18" s="4" t="s">
        <v>81</v>
      </c>
      <c r="C18" s="5" t="s">
        <v>11</v>
      </c>
      <c r="D18" s="4" t="s">
        <v>82</v>
      </c>
      <c r="E18" s="4" t="s">
        <v>83</v>
      </c>
      <c r="F18" s="4" t="s">
        <v>14</v>
      </c>
      <c r="G18" s="4" t="s">
        <v>84</v>
      </c>
      <c r="H18" s="6"/>
    </row>
    <row r="19" customFormat="false" ht="15" hidden="false" customHeight="true" outlineLevel="0" collapsed="false">
      <c r="A19" s="4" t="s">
        <v>85</v>
      </c>
      <c r="B19" s="4" t="s">
        <v>86</v>
      </c>
      <c r="C19" s="9" t="s">
        <v>66</v>
      </c>
      <c r="D19" s="4" t="s">
        <v>87</v>
      </c>
      <c r="E19" s="4" t="s">
        <v>88</v>
      </c>
      <c r="F19" s="4" t="s">
        <v>27</v>
      </c>
      <c r="G19" s="4" t="s">
        <v>89</v>
      </c>
      <c r="H19" s="6"/>
    </row>
    <row r="20" customFormat="false" ht="15" hidden="false" customHeight="true" outlineLevel="0" collapsed="false">
      <c r="A20" s="4" t="s">
        <v>90</v>
      </c>
      <c r="B20" s="4" t="s">
        <v>91</v>
      </c>
      <c r="C20" s="9" t="s">
        <v>66</v>
      </c>
      <c r="D20" s="4" t="s">
        <v>92</v>
      </c>
      <c r="E20" s="4" t="s">
        <v>93</v>
      </c>
      <c r="F20" s="4" t="s">
        <v>94</v>
      </c>
      <c r="G20" s="4"/>
      <c r="H20" s="6"/>
    </row>
    <row r="21" customFormat="false" ht="15" hidden="false" customHeight="true" outlineLevel="0" collapsed="false">
      <c r="A21" s="4" t="s">
        <v>95</v>
      </c>
      <c r="B21" s="4" t="s">
        <v>96</v>
      </c>
      <c r="C21" s="9" t="s">
        <v>66</v>
      </c>
      <c r="D21" s="4" t="s">
        <v>97</v>
      </c>
      <c r="E21" s="4" t="s">
        <v>98</v>
      </c>
      <c r="F21" s="4" t="s">
        <v>94</v>
      </c>
      <c r="G21" s="4" t="s">
        <v>99</v>
      </c>
      <c r="H21" s="6"/>
    </row>
    <row r="22" customFormat="false" ht="15" hidden="false" customHeight="true" outlineLevel="0" collapsed="false">
      <c r="A22" s="4"/>
      <c r="B22" s="4"/>
      <c r="C22" s="9"/>
      <c r="D22" s="4"/>
      <c r="E22" s="4"/>
      <c r="F22" s="4"/>
      <c r="G22" s="4"/>
      <c r="H22" s="6"/>
    </row>
    <row r="23" customFormat="false" ht="15" hidden="false" customHeight="true" outlineLevel="0" collapsed="false">
      <c r="A23" s="4"/>
      <c r="B23" s="4"/>
      <c r="C23" s="10"/>
      <c r="D23" s="4"/>
      <c r="E23" s="4"/>
      <c r="F23" s="4"/>
      <c r="G23" s="4"/>
      <c r="H23" s="6"/>
    </row>
    <row r="24" customFormat="false" ht="15" hidden="false" customHeight="true" outlineLevel="0" collapsed="false">
      <c r="A24" s="4"/>
      <c r="B24" s="4"/>
      <c r="C24" s="9"/>
      <c r="D24" s="4"/>
      <c r="E24" s="4"/>
      <c r="F24" s="4"/>
      <c r="G24" s="4"/>
      <c r="H24" s="6"/>
    </row>
    <row r="25" customFormat="false" ht="15" hidden="false" customHeight="true" outlineLevel="0" collapsed="false">
      <c r="A25" s="4"/>
      <c r="B25" s="4"/>
      <c r="C25" s="9"/>
      <c r="D25" s="4"/>
      <c r="E25" s="4"/>
      <c r="F25" s="4"/>
      <c r="G25" s="4"/>
      <c r="H25" s="6"/>
    </row>
    <row r="26" customFormat="false" ht="15" hidden="false" customHeight="true" outlineLevel="0" collapsed="false">
      <c r="A26" s="4"/>
      <c r="B26" s="4"/>
      <c r="C26" s="5"/>
      <c r="D26" s="4"/>
      <c r="E26" s="4"/>
      <c r="F26" s="4"/>
      <c r="G26" s="4"/>
      <c r="H26" s="6"/>
    </row>
    <row r="27" customFormat="false" ht="15" hidden="false" customHeight="true" outlineLevel="0" collapsed="false">
      <c r="A27" s="4"/>
      <c r="B27" s="4"/>
      <c r="C27" s="5"/>
      <c r="D27" s="4"/>
      <c r="E27" s="4"/>
      <c r="F27" s="4"/>
      <c r="G27" s="4"/>
      <c r="H27" s="6"/>
    </row>
    <row r="28" customFormat="false" ht="15" hidden="false" customHeight="true" outlineLevel="0" collapsed="false">
      <c r="A28" s="4"/>
      <c r="B28" s="4"/>
      <c r="C28" s="5"/>
      <c r="D28" s="4"/>
      <c r="E28" s="4"/>
      <c r="F28" s="4"/>
      <c r="G28" s="4"/>
      <c r="H28" s="6"/>
    </row>
  </sheetData>
  <mergeCells count="1">
    <mergeCell ref="A1:H1"/>
  </mergeCells>
  <dataValidations count="1">
    <dataValidation allowBlank="true" errorStyle="stop" operator="between" showDropDown="false" showErrorMessage="false" showInputMessage="false" sqref="H4:H28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0"/>
  </cols>
  <sheetData>
    <row r="1" customFormat="false" ht="17.25" hidden="false" customHeight="true" outlineLevel="0" collapsed="false">
      <c r="A1" s="11" t="s">
        <v>100</v>
      </c>
      <c r="B1" s="11"/>
      <c r="C1" s="11"/>
      <c r="D1" s="11"/>
      <c r="E1" s="11"/>
      <c r="F1" s="11"/>
      <c r="G1" s="11"/>
    </row>
    <row r="3" customFormat="false" ht="15" hidden="false" customHeight="true" outlineLevel="0" collapsed="false">
      <c r="A3" s="12" t="s">
        <v>101</v>
      </c>
    </row>
    <row r="5" customFormat="false" ht="15" hidden="false" customHeight="true" outlineLevel="0" collapsed="false">
      <c r="A5" s="13" t="s">
        <v>102</v>
      </c>
      <c r="B5" s="13" t="s">
        <v>103</v>
      </c>
      <c r="C5" s="13" t="s">
        <v>104</v>
      </c>
      <c r="D5" s="13" t="s">
        <v>105</v>
      </c>
      <c r="E5" s="13" t="s">
        <v>106</v>
      </c>
      <c r="F5" s="13" t="s">
        <v>107</v>
      </c>
      <c r="G5" s="13" t="s">
        <v>108</v>
      </c>
      <c r="H5" s="13" t="s">
        <v>109</v>
      </c>
    </row>
    <row r="6" customFormat="false" ht="15" hidden="false" customHeight="true" outlineLevel="0" collapsed="false">
      <c r="A6" s="14" t="s">
        <v>110</v>
      </c>
      <c r="B6" s="14" t="s">
        <v>111</v>
      </c>
      <c r="C6" s="14" t="n">
        <v>25</v>
      </c>
      <c r="D6" s="14" t="n">
        <v>80</v>
      </c>
      <c r="E6" s="14" t="n">
        <v>5</v>
      </c>
      <c r="F6" s="15" t="n">
        <f aca="false">IF(C6="","",C6*E6)</f>
        <v>125</v>
      </c>
      <c r="G6" s="15" t="n">
        <f aca="false">IF(D6="","",D6*E6)</f>
        <v>400</v>
      </c>
      <c r="H6" s="15" t="n">
        <f aca="false">IF(OR(C6="",D6=""),"",(D6-C6)/D6)</f>
        <v>0.6875</v>
      </c>
    </row>
    <row r="7" customFormat="false" ht="15" hidden="false" customHeight="true" outlineLevel="0" collapsed="false">
      <c r="A7" s="14" t="s">
        <v>112</v>
      </c>
      <c r="B7" s="14" t="s">
        <v>111</v>
      </c>
      <c r="C7" s="14" t="n">
        <v>30</v>
      </c>
      <c r="D7" s="14" t="n">
        <v>95</v>
      </c>
      <c r="E7" s="14" t="n">
        <v>3</v>
      </c>
      <c r="F7" s="15" t="n">
        <f aca="false">IF(C7="","",C7*E7)</f>
        <v>90</v>
      </c>
      <c r="G7" s="15" t="n">
        <f aca="false">IF(D7="","",D7*E7)</f>
        <v>285</v>
      </c>
      <c r="H7" s="15" t="n">
        <f aca="false">IF(OR(C7="",D7=""),"",(D7-C7)/D7)</f>
        <v>0.68421052631579</v>
      </c>
    </row>
    <row r="8" customFormat="false" ht="15" hidden="false" customHeight="true" outlineLevel="0" collapsed="false">
      <c r="A8" s="14" t="s">
        <v>113</v>
      </c>
      <c r="B8" s="14" t="s">
        <v>114</v>
      </c>
      <c r="C8" s="14" t="n">
        <v>35</v>
      </c>
      <c r="D8" s="14" t="n">
        <v>120</v>
      </c>
      <c r="E8" s="14" t="n">
        <v>4</v>
      </c>
      <c r="F8" s="15" t="n">
        <f aca="false">IF(C8="","",C8*E8)</f>
        <v>140</v>
      </c>
      <c r="G8" s="15" t="n">
        <f aca="false">IF(D8="","",D8*E8)</f>
        <v>480</v>
      </c>
      <c r="H8" s="15" t="n">
        <f aca="false">IF(OR(C8="",D8=""),"",(D8-C8)/D8)</f>
        <v>0.708333333333333</v>
      </c>
    </row>
    <row r="9" customFormat="false" ht="15" hidden="false" customHeight="true" outlineLevel="0" collapsed="false">
      <c r="A9" s="14" t="s">
        <v>115</v>
      </c>
      <c r="B9" s="14" t="s">
        <v>114</v>
      </c>
      <c r="C9" s="14" t="n">
        <v>40</v>
      </c>
      <c r="D9" s="14" t="n">
        <v>130</v>
      </c>
      <c r="E9" s="14" t="n">
        <v>3</v>
      </c>
      <c r="F9" s="15" t="n">
        <f aca="false">IF(C9="","",C9*E9)</f>
        <v>120</v>
      </c>
      <c r="G9" s="15" t="n">
        <f aca="false">IF(D9="","",D9*E9)</f>
        <v>390</v>
      </c>
      <c r="H9" s="15" t="n">
        <f aca="false">IF(OR(C9="",D9=""),"",(D9-C9)/D9)</f>
        <v>0.692307692307692</v>
      </c>
    </row>
    <row r="10" customFormat="false" ht="15" hidden="false" customHeight="true" outlineLevel="0" collapsed="false">
      <c r="A10" s="14" t="s">
        <v>116</v>
      </c>
      <c r="B10" s="14" t="s">
        <v>117</v>
      </c>
      <c r="C10" s="14" t="n">
        <v>45</v>
      </c>
      <c r="D10" s="14" t="n">
        <v>150</v>
      </c>
      <c r="E10" s="14" t="n">
        <v>4</v>
      </c>
      <c r="F10" s="15" t="n">
        <f aca="false">IF(C10="","",C10*E10)</f>
        <v>180</v>
      </c>
      <c r="G10" s="15" t="n">
        <f aca="false">IF(D10="","",D10*E10)</f>
        <v>600</v>
      </c>
      <c r="H10" s="15" t="n">
        <f aca="false">IF(OR(C10="",D10=""),"",(D10-C10)/D10)</f>
        <v>0.7</v>
      </c>
    </row>
    <row r="11" customFormat="false" ht="15" hidden="false" customHeight="true" outlineLevel="0" collapsed="false">
      <c r="A11" s="14" t="s">
        <v>118</v>
      </c>
      <c r="B11" s="14" t="s">
        <v>117</v>
      </c>
      <c r="C11" s="14" t="n">
        <v>30</v>
      </c>
      <c r="D11" s="14" t="n">
        <v>100</v>
      </c>
      <c r="E11" s="14" t="n">
        <v>5</v>
      </c>
      <c r="F11" s="15" t="n">
        <f aca="false">IF(C11="","",C11*E11)</f>
        <v>150</v>
      </c>
      <c r="G11" s="15" t="n">
        <f aca="false">IF(D11="","",D11*E11)</f>
        <v>500</v>
      </c>
      <c r="H11" s="15" t="n">
        <f aca="false">IF(OR(C11="",D11=""),"",(D11-C11)/D11)</f>
        <v>0.7</v>
      </c>
    </row>
    <row r="12" customFormat="false" ht="15" hidden="false" customHeight="true" outlineLevel="0" collapsed="false">
      <c r="A12" s="14" t="s">
        <v>119</v>
      </c>
      <c r="B12" s="14" t="s">
        <v>120</v>
      </c>
      <c r="C12" s="14" t="n">
        <v>15</v>
      </c>
      <c r="D12" s="14" t="n">
        <v>45</v>
      </c>
      <c r="E12" s="14" t="n">
        <v>6</v>
      </c>
      <c r="F12" s="15" t="n">
        <f aca="false">IF(C12="","",C12*E12)</f>
        <v>90</v>
      </c>
      <c r="G12" s="15" t="n">
        <f aca="false">IF(D12="","",D12*E12)</f>
        <v>270</v>
      </c>
      <c r="H12" s="15" t="n">
        <f aca="false">IF(OR(C12="",D12=""),"",(D12-C12)/D12)</f>
        <v>0.666666666666667</v>
      </c>
    </row>
    <row r="13" customFormat="false" ht="15" hidden="false" customHeight="true" outlineLevel="0" collapsed="false">
      <c r="A13" s="14" t="s">
        <v>121</v>
      </c>
      <c r="B13" s="14" t="s">
        <v>120</v>
      </c>
      <c r="C13" s="14" t="n">
        <v>18</v>
      </c>
      <c r="D13" s="14" t="n">
        <v>50</v>
      </c>
      <c r="E13" s="14" t="n">
        <v>4</v>
      </c>
      <c r="F13" s="15" t="n">
        <f aca="false">IF(C13="","",C13*E13)</f>
        <v>72</v>
      </c>
      <c r="G13" s="15" t="n">
        <f aca="false">IF(D13="","",D13*E13)</f>
        <v>200</v>
      </c>
      <c r="H13" s="15" t="n">
        <f aca="false">IF(OR(C13="",D13=""),"",(D13-C13)/D13)</f>
        <v>0.64</v>
      </c>
    </row>
    <row r="14" customFormat="false" ht="15" hidden="false" customHeight="true" outlineLevel="0" collapsed="false">
      <c r="A14" s="14"/>
      <c r="B14" s="14"/>
      <c r="C14" s="14"/>
      <c r="D14" s="14"/>
      <c r="E14" s="14"/>
      <c r="F14" s="15" t="str">
        <f aca="false">IF(C14="","",C14*E14)</f>
        <v/>
      </c>
      <c r="G14" s="15" t="str">
        <f aca="false">IF(D14="","",D14*E14)</f>
        <v/>
      </c>
      <c r="H14" s="15" t="str">
        <f aca="false">IF(OR(C14="",D14=""),"",(D14-C14)/D14)</f>
        <v/>
      </c>
    </row>
    <row r="15" customFormat="false" ht="15" hidden="false" customHeight="true" outlineLevel="0" collapsed="false">
      <c r="A15" s="14"/>
      <c r="B15" s="14"/>
      <c r="C15" s="14"/>
      <c r="D15" s="14"/>
      <c r="E15" s="14"/>
      <c r="F15" s="15" t="str">
        <f aca="false">IF(C15="","",C15*E15)</f>
        <v/>
      </c>
      <c r="G15" s="15" t="str">
        <f aca="false">IF(D15="","",D15*E15)</f>
        <v/>
      </c>
      <c r="H15" s="15" t="str">
        <f aca="false">IF(OR(C15="",D15=""),"",(D15-C15)/D15)</f>
        <v/>
      </c>
    </row>
    <row r="16" customFormat="false" ht="15" hidden="false" customHeight="true" outlineLevel="0" collapsed="false">
      <c r="A16" s="14"/>
      <c r="B16" s="14"/>
      <c r="C16" s="14"/>
      <c r="D16" s="14"/>
      <c r="E16" s="14"/>
      <c r="F16" s="15" t="str">
        <f aca="false">IF(C16="","",C16*E16)</f>
        <v/>
      </c>
      <c r="G16" s="15" t="str">
        <f aca="false">IF(D16="","",D16*E16)</f>
        <v/>
      </c>
      <c r="H16" s="15" t="str">
        <f aca="false">IF(OR(C16="",D16=""),"",(D16-C16)/D16)</f>
        <v/>
      </c>
    </row>
    <row r="17" customFormat="false" ht="15" hidden="false" customHeight="true" outlineLevel="0" collapsed="false">
      <c r="A17" s="14"/>
      <c r="B17" s="14"/>
      <c r="C17" s="14"/>
      <c r="D17" s="14"/>
      <c r="E17" s="14"/>
      <c r="F17" s="15" t="str">
        <f aca="false">IF(C17="","",C17*E17)</f>
        <v/>
      </c>
      <c r="G17" s="15" t="str">
        <f aca="false">IF(D17="","",D17*E17)</f>
        <v/>
      </c>
      <c r="H17" s="15" t="str">
        <f aca="false">IF(OR(C17="",D17=""),"",(D17-C17)/D17)</f>
        <v/>
      </c>
    </row>
    <row r="18" customFormat="false" ht="15" hidden="false" customHeight="true" outlineLevel="0" collapsed="false">
      <c r="A18" s="14"/>
      <c r="B18" s="14"/>
      <c r="C18" s="14"/>
      <c r="D18" s="14"/>
      <c r="E18" s="14"/>
      <c r="F18" s="15" t="str">
        <f aca="false">IF(C18="","",C18*E18)</f>
        <v/>
      </c>
      <c r="G18" s="15" t="str">
        <f aca="false">IF(D18="","",D18*E18)</f>
        <v/>
      </c>
      <c r="H18" s="15" t="str">
        <f aca="false">IF(OR(C18="",D18=""),"",(D18-C18)/D18)</f>
        <v/>
      </c>
    </row>
    <row r="19" customFormat="false" ht="15" hidden="false" customHeight="true" outlineLevel="0" collapsed="false">
      <c r="A19" s="14"/>
      <c r="B19" s="14"/>
      <c r="C19" s="14"/>
      <c r="D19" s="14"/>
      <c r="E19" s="14"/>
      <c r="F19" s="15" t="str">
        <f aca="false">IF(C19="","",C19*E19)</f>
        <v/>
      </c>
      <c r="G19" s="15" t="str">
        <f aca="false">IF(D19="","",D19*E19)</f>
        <v/>
      </c>
      <c r="H19" s="15" t="str">
        <f aca="false">IF(OR(C19="",D19=""),"",(D19-C19)/D19)</f>
        <v/>
      </c>
    </row>
    <row r="20" customFormat="false" ht="15" hidden="false" customHeight="true" outlineLevel="0" collapsed="false">
      <c r="A20" s="14"/>
      <c r="B20" s="14"/>
      <c r="C20" s="14"/>
      <c r="D20" s="14"/>
      <c r="E20" s="14"/>
      <c r="F20" s="15" t="str">
        <f aca="false">IF(C20="","",C20*E20)</f>
        <v/>
      </c>
      <c r="G20" s="15" t="str">
        <f aca="false">IF(D20="","",D20*E20)</f>
        <v/>
      </c>
      <c r="H20" s="15" t="str">
        <f aca="false">IF(OR(C20="",D20=""),"",(D20-C20)/D20)</f>
        <v/>
      </c>
    </row>
    <row r="21" customFormat="false" ht="15" hidden="false" customHeight="true" outlineLevel="0" collapsed="false">
      <c r="A21" s="14"/>
      <c r="B21" s="14"/>
      <c r="C21" s="14"/>
      <c r="D21" s="14"/>
      <c r="E21" s="14"/>
      <c r="F21" s="15" t="str">
        <f aca="false">IF(C21="","",C21*E21)</f>
        <v/>
      </c>
      <c r="G21" s="15" t="str">
        <f aca="false">IF(D21="","",D21*E21)</f>
        <v/>
      </c>
      <c r="H21" s="15" t="str">
        <f aca="false">IF(OR(C21="",D21=""),"",(D21-C21)/D21)</f>
        <v/>
      </c>
    </row>
    <row r="22" customFormat="false" ht="15" hidden="false" customHeight="true" outlineLevel="0" collapsed="false">
      <c r="A22" s="14"/>
      <c r="B22" s="14"/>
      <c r="C22" s="14"/>
      <c r="D22" s="14"/>
      <c r="E22" s="14"/>
      <c r="F22" s="15" t="str">
        <f aca="false">IF(C22="","",C22*E22)</f>
        <v/>
      </c>
      <c r="G22" s="15" t="str">
        <f aca="false">IF(D22="","",D22*E22)</f>
        <v/>
      </c>
      <c r="H22" s="15" t="str">
        <f aca="false">IF(OR(C22="",D22=""),"",(D22-C22)/D22)</f>
        <v/>
      </c>
    </row>
    <row r="23" customFormat="false" ht="15" hidden="false" customHeight="true" outlineLevel="0" collapsed="false">
      <c r="A23" s="14"/>
      <c r="B23" s="14"/>
      <c r="C23" s="14"/>
      <c r="D23" s="14"/>
      <c r="E23" s="14"/>
      <c r="F23" s="15" t="str">
        <f aca="false">IF(C23="","",C23*E23)</f>
        <v/>
      </c>
      <c r="G23" s="15" t="str">
        <f aca="false">IF(D23="","",D23*E23)</f>
        <v/>
      </c>
      <c r="H23" s="15" t="str">
        <f aca="false">IF(OR(C23="",D23=""),"",(D23-C23)/D23)</f>
        <v/>
      </c>
    </row>
    <row r="24" customFormat="false" ht="15" hidden="false" customHeight="true" outlineLevel="0" collapsed="false">
      <c r="A24" s="14"/>
      <c r="B24" s="14"/>
      <c r="C24" s="14"/>
      <c r="D24" s="14"/>
      <c r="E24" s="14"/>
      <c r="F24" s="15" t="str">
        <f aca="false">IF(C24="","",C24*E24)</f>
        <v/>
      </c>
      <c r="G24" s="15" t="str">
        <f aca="false">IF(D24="","",D24*E24)</f>
        <v/>
      </c>
      <c r="H24" s="15" t="str">
        <f aca="false">IF(OR(C24="",D24=""),"",(D24-C24)/D24)</f>
        <v/>
      </c>
    </row>
    <row r="25" customFormat="false" ht="15" hidden="false" customHeight="true" outlineLevel="0" collapsed="false">
      <c r="A25" s="14"/>
      <c r="B25" s="14"/>
      <c r="C25" s="14"/>
      <c r="D25" s="14"/>
      <c r="E25" s="14"/>
      <c r="F25" s="15" t="str">
        <f aca="false">IF(C25="","",C25*E25)</f>
        <v/>
      </c>
      <c r="G25" s="15" t="str">
        <f aca="false">IF(D25="","",D25*E25)</f>
        <v/>
      </c>
      <c r="H25" s="15" t="str">
        <f aca="false">IF(OR(C25="",D25=""),"",(D25-C25)/D25)</f>
        <v/>
      </c>
    </row>
    <row r="26" customFormat="false" ht="15" hidden="false" customHeight="true" outlineLevel="0" collapsed="false">
      <c r="A26" s="14"/>
      <c r="B26" s="14"/>
      <c r="C26" s="14"/>
      <c r="D26" s="14"/>
      <c r="E26" s="14"/>
      <c r="F26" s="15" t="str">
        <f aca="false">IF(C26="","",C26*E26)</f>
        <v/>
      </c>
      <c r="G26" s="15" t="str">
        <f aca="false">IF(D26="","",D26*E26)</f>
        <v/>
      </c>
      <c r="H26" s="15" t="str">
        <f aca="false">IF(OR(C26="",D26=""),"",(D26-C26)/D26)</f>
        <v/>
      </c>
    </row>
    <row r="27" customFormat="false" ht="15" hidden="false" customHeight="true" outlineLevel="0" collapsed="false">
      <c r="A27" s="14"/>
      <c r="B27" s="14"/>
      <c r="C27" s="14"/>
      <c r="D27" s="14"/>
      <c r="E27" s="14"/>
      <c r="F27" s="15" t="str">
        <f aca="false">IF(C27="","",C27*E27)</f>
        <v/>
      </c>
      <c r="G27" s="15" t="str">
        <f aca="false">IF(D27="","",D27*E27)</f>
        <v/>
      </c>
      <c r="H27" s="15" t="str">
        <f aca="false">IF(OR(C27="",D27=""),"",(D27-C27)/D27)</f>
        <v/>
      </c>
    </row>
    <row r="28" customFormat="false" ht="15" hidden="false" customHeight="true" outlineLevel="0" collapsed="false">
      <c r="A28" s="14"/>
      <c r="B28" s="14"/>
      <c r="C28" s="14"/>
      <c r="D28" s="14"/>
      <c r="E28" s="14"/>
      <c r="F28" s="15" t="str">
        <f aca="false">IF(C28="","",C28*E28)</f>
        <v/>
      </c>
      <c r="G28" s="15" t="str">
        <f aca="false">IF(D28="","",D28*E28)</f>
        <v/>
      </c>
      <c r="H28" s="15" t="str">
        <f aca="false">IF(OR(C28="",D28=""),"",(D28-C28)/D28)</f>
        <v/>
      </c>
    </row>
    <row r="29" customFormat="false" ht="15" hidden="false" customHeight="true" outlineLevel="0" collapsed="false">
      <c r="A29" s="14"/>
      <c r="B29" s="14"/>
      <c r="C29" s="14"/>
      <c r="D29" s="14"/>
      <c r="E29" s="14"/>
      <c r="F29" s="15" t="str">
        <f aca="false">IF(C29="","",C29*E29)</f>
        <v/>
      </c>
      <c r="G29" s="15" t="str">
        <f aca="false">IF(D29="","",D29*E29)</f>
        <v/>
      </c>
      <c r="H29" s="15" t="str">
        <f aca="false">IF(OR(C29="",D29=""),"",(D29-C29)/D29)</f>
        <v/>
      </c>
    </row>
    <row r="30" customFormat="false" ht="15" hidden="false" customHeight="true" outlineLevel="0" collapsed="false">
      <c r="A30" s="14"/>
      <c r="B30" s="14"/>
      <c r="C30" s="14"/>
      <c r="D30" s="14"/>
      <c r="E30" s="14"/>
      <c r="F30" s="15" t="str">
        <f aca="false">IF(C30="","",C30*E30)</f>
        <v/>
      </c>
      <c r="G30" s="15" t="str">
        <f aca="false">IF(D30="","",D30*E30)</f>
        <v/>
      </c>
      <c r="H30" s="15" t="str">
        <f aca="false">IF(OR(C30="",D30=""),"",(D30-C30)/D30)</f>
        <v/>
      </c>
    </row>
    <row r="31" customFormat="false" ht="15" hidden="false" customHeight="true" outlineLevel="0" collapsed="false">
      <c r="A31" s="14"/>
      <c r="B31" s="14"/>
      <c r="C31" s="14"/>
      <c r="D31" s="14"/>
      <c r="E31" s="14"/>
      <c r="F31" s="15" t="str">
        <f aca="false">IF(C31="","",C31*E31)</f>
        <v/>
      </c>
      <c r="G31" s="15" t="str">
        <f aca="false">IF(D31="","",D31*E31)</f>
        <v/>
      </c>
      <c r="H31" s="15" t="str">
        <f aca="false">IF(OR(C31="",D31=""),"",(D31-C31)/D31)</f>
        <v/>
      </c>
    </row>
    <row r="32" customFormat="false" ht="15" hidden="false" customHeight="true" outlineLevel="0" collapsed="false">
      <c r="A32" s="14"/>
      <c r="B32" s="14"/>
      <c r="C32" s="14"/>
      <c r="D32" s="14"/>
      <c r="E32" s="14"/>
      <c r="F32" s="15" t="str">
        <f aca="false">IF(C32="","",C32*E32)</f>
        <v/>
      </c>
      <c r="G32" s="15" t="str">
        <f aca="false">IF(D32="","",D32*E32)</f>
        <v/>
      </c>
      <c r="H32" s="15" t="str">
        <f aca="false">IF(OR(C32="",D32=""),"",(D32-C32)/D32)</f>
        <v/>
      </c>
    </row>
    <row r="33" customFormat="false" ht="15" hidden="false" customHeight="true" outlineLevel="0" collapsed="false">
      <c r="A33" s="14"/>
      <c r="B33" s="14"/>
      <c r="C33" s="14"/>
      <c r="D33" s="14"/>
      <c r="E33" s="14"/>
      <c r="F33" s="15" t="str">
        <f aca="false">IF(C33="","",C33*E33)</f>
        <v/>
      </c>
      <c r="G33" s="15" t="str">
        <f aca="false">IF(D33="","",D33*E33)</f>
        <v/>
      </c>
      <c r="H33" s="15" t="str">
        <f aca="false">IF(OR(C33="",D33=""),"",(D33-C33)/D33)</f>
        <v/>
      </c>
    </row>
    <row r="36" customFormat="false" ht="15" hidden="false" customHeight="true" outlineLevel="0" collapsed="false">
      <c r="A36" s="16" t="s">
        <v>122</v>
      </c>
    </row>
    <row r="37" customFormat="false" ht="15" hidden="false" customHeight="true" outlineLevel="0" collapsed="false">
      <c r="A37" s="17" t="s">
        <v>123</v>
      </c>
      <c r="B37" s="18" t="n">
        <f aca="false">COUNTA(A6:A33)</f>
        <v>8</v>
      </c>
    </row>
    <row r="38" customFormat="false" ht="15" hidden="false" customHeight="true" outlineLevel="0" collapsed="false">
      <c r="A38" s="17" t="s">
        <v>124</v>
      </c>
      <c r="B38" s="18" t="n">
        <f aca="false">SUM(E6:E33)</f>
        <v>34</v>
      </c>
    </row>
    <row r="39" customFormat="false" ht="15" hidden="false" customHeight="true" outlineLevel="0" collapsed="false">
      <c r="A39" s="17" t="s">
        <v>107</v>
      </c>
      <c r="B39" s="18" t="n">
        <f aca="false">SUM(F6:F33)</f>
        <v>967</v>
      </c>
    </row>
    <row r="40" customFormat="false" ht="15" hidden="false" customHeight="true" outlineLevel="0" collapsed="false">
      <c r="A40" s="17" t="s">
        <v>125</v>
      </c>
      <c r="B40" s="19" t="n">
        <f aca="false">SUM(G6:G33)</f>
        <v>3125</v>
      </c>
    </row>
    <row r="41" customFormat="false" ht="15" hidden="false" customHeight="true" outlineLevel="0" collapsed="false">
      <c r="A41" s="17" t="s">
        <v>126</v>
      </c>
      <c r="B41" s="18" t="n">
        <f aca="false">IFERROR(AVERAGE(H6:H33),"")</f>
        <v>0.684877277327935</v>
      </c>
    </row>
    <row r="42" customFormat="false" ht="15" hidden="false" customHeight="true" outlineLevel="0" collapsed="false">
      <c r="A42" s="17" t="s">
        <v>127</v>
      </c>
      <c r="B42" s="19" t="n">
        <f aca="false">G40-F39</f>
        <v>0</v>
      </c>
    </row>
    <row r="46" customFormat="false" ht="15" hidden="false" customHeight="true" outlineLevel="0" collapsed="false">
      <c r="A46" s="16" t="s">
        <v>128</v>
      </c>
    </row>
    <row r="47" customFormat="false" ht="15" hidden="false" customHeight="true" outlineLevel="0" collapsed="false">
      <c r="A47" s="1" t="s">
        <v>129</v>
      </c>
      <c r="B47" s="14" t="n">
        <v>0.15</v>
      </c>
    </row>
    <row r="48" customFormat="false" ht="15" hidden="false" customHeight="true" outlineLevel="0" collapsed="false">
      <c r="A48" s="1" t="s">
        <v>130</v>
      </c>
      <c r="B48" s="14" t="n">
        <v>150</v>
      </c>
    </row>
    <row r="49" customFormat="false" ht="15" hidden="false" customHeight="true" outlineLevel="0" collapsed="false">
      <c r="A49" s="1" t="s">
        <v>131</v>
      </c>
      <c r="B49" s="20" t="n">
        <f aca="false">G40*B47</f>
        <v>0</v>
      </c>
    </row>
    <row r="50" customFormat="false" ht="15" hidden="false" customHeight="true" outlineLevel="0" collapsed="false">
      <c r="A50" s="1" t="s">
        <v>132</v>
      </c>
      <c r="B50" s="1" t="n">
        <f aca="false">B49*B41-B48</f>
        <v>-150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7" min="7" style="1" width="14"/>
  </cols>
  <sheetData>
    <row r="1" customFormat="false" ht="17.25" hidden="false" customHeight="true" outlineLevel="0" collapsed="false">
      <c r="A1" s="21" t="s">
        <v>133</v>
      </c>
      <c r="B1" s="21"/>
      <c r="C1" s="21"/>
      <c r="D1" s="21"/>
      <c r="E1" s="21"/>
      <c r="F1" s="21"/>
    </row>
    <row r="3" customFormat="false" ht="15" hidden="false" customHeight="true" outlineLevel="0" collapsed="false">
      <c r="A3" s="12" t="s">
        <v>134</v>
      </c>
    </row>
    <row r="5" customFormat="false" ht="15" hidden="false" customHeight="true" outlineLevel="0" collapsed="false">
      <c r="A5" s="22" t="s">
        <v>135</v>
      </c>
      <c r="B5" s="22" t="s">
        <v>136</v>
      </c>
      <c r="C5" s="22" t="s">
        <v>137</v>
      </c>
      <c r="D5" s="22" t="s">
        <v>105</v>
      </c>
      <c r="E5" s="22" t="s">
        <v>138</v>
      </c>
      <c r="F5" s="22" t="s">
        <v>107</v>
      </c>
      <c r="G5" s="22" t="s">
        <v>139</v>
      </c>
    </row>
    <row r="6" customFormat="false" ht="15" hidden="false" customHeight="true" outlineLevel="0" collapsed="false">
      <c r="A6" s="14" t="s">
        <v>140</v>
      </c>
      <c r="B6" s="14" t="s">
        <v>141</v>
      </c>
      <c r="C6" s="14" t="n">
        <v>15</v>
      </c>
      <c r="D6" s="14" t="n">
        <v>120</v>
      </c>
      <c r="E6" s="14" t="n">
        <v>3</v>
      </c>
      <c r="F6" s="18" t="n">
        <f aca="false">IF(C6="","",C6*E6)</f>
        <v>45</v>
      </c>
      <c r="G6" s="18" t="n">
        <f aca="false">IF(D6="","",D6*E6)</f>
        <v>360</v>
      </c>
    </row>
    <row r="7" customFormat="false" ht="15" hidden="false" customHeight="true" outlineLevel="0" collapsed="false">
      <c r="A7" s="14" t="s">
        <v>142</v>
      </c>
      <c r="B7" s="14" t="s">
        <v>141</v>
      </c>
      <c r="C7" s="14" t="n">
        <v>15</v>
      </c>
      <c r="D7" s="14" t="n">
        <v>120</v>
      </c>
      <c r="E7" s="14" t="n">
        <v>3</v>
      </c>
      <c r="F7" s="18" t="n">
        <f aca="false">IF(C7="","",C7*E7)</f>
        <v>45</v>
      </c>
      <c r="G7" s="18" t="n">
        <f aca="false">IF(D7="","",D7*E7)</f>
        <v>360</v>
      </c>
    </row>
    <row r="8" customFormat="false" ht="15" hidden="false" customHeight="true" outlineLevel="0" collapsed="false">
      <c r="A8" s="14" t="s">
        <v>143</v>
      </c>
      <c r="B8" s="14" t="s">
        <v>51</v>
      </c>
      <c r="C8" s="14" t="n">
        <v>25</v>
      </c>
      <c r="D8" s="14" t="n">
        <v>200</v>
      </c>
      <c r="E8" s="14" t="n">
        <v>2</v>
      </c>
      <c r="F8" s="18" t="n">
        <f aca="false">IF(C8="","",C8*E8)</f>
        <v>50</v>
      </c>
      <c r="G8" s="18" t="n">
        <f aca="false">IF(D8="","",D8*E8)</f>
        <v>400</v>
      </c>
    </row>
    <row r="9" customFormat="false" ht="15" hidden="false" customHeight="true" outlineLevel="0" collapsed="false">
      <c r="A9" s="14" t="s">
        <v>144</v>
      </c>
      <c r="B9" s="14" t="s">
        <v>51</v>
      </c>
      <c r="C9" s="14" t="n">
        <v>25</v>
      </c>
      <c r="D9" s="14" t="n">
        <v>250</v>
      </c>
      <c r="E9" s="14" t="n">
        <v>2</v>
      </c>
      <c r="F9" s="18" t="n">
        <f aca="false">IF(C9="","",C9*E9)</f>
        <v>50</v>
      </c>
      <c r="G9" s="18" t="n">
        <f aca="false">IF(D9="","",D9*E9)</f>
        <v>500</v>
      </c>
    </row>
    <row r="10" customFormat="false" ht="15" hidden="false" customHeight="true" outlineLevel="0" collapsed="false">
      <c r="A10" s="14" t="s">
        <v>145</v>
      </c>
      <c r="B10" s="14" t="s">
        <v>146</v>
      </c>
      <c r="C10" s="14" t="n">
        <v>40</v>
      </c>
      <c r="D10" s="14" t="n">
        <v>400</v>
      </c>
      <c r="E10" s="14" t="n">
        <v>1</v>
      </c>
      <c r="F10" s="18" t="n">
        <f aca="false">IF(C10="","",C10*E10)</f>
        <v>40</v>
      </c>
      <c r="G10" s="18" t="n">
        <f aca="false">IF(D10="","",D10*E10)</f>
        <v>400</v>
      </c>
    </row>
    <row r="11" customFormat="false" ht="15" hidden="false" customHeight="true" outlineLevel="0" collapsed="false">
      <c r="A11" s="14"/>
      <c r="B11" s="14"/>
      <c r="C11" s="14"/>
      <c r="D11" s="14"/>
      <c r="E11" s="14"/>
      <c r="F11" s="18" t="str">
        <f aca="false">IF(C11="","",C11*E11)</f>
        <v/>
      </c>
      <c r="G11" s="18" t="str">
        <f aca="false">IF(D11="","",D11*E11)</f>
        <v/>
      </c>
    </row>
    <row r="12" customFormat="false" ht="15" hidden="false" customHeight="true" outlineLevel="0" collapsed="false">
      <c r="A12" s="14"/>
      <c r="B12" s="14"/>
      <c r="C12" s="14"/>
      <c r="D12" s="14"/>
      <c r="E12" s="14"/>
      <c r="F12" s="18" t="str">
        <f aca="false">IF(C12="","",C12*E12)</f>
        <v/>
      </c>
      <c r="G12" s="18" t="str">
        <f aca="false">IF(D12="","",D12*E12)</f>
        <v/>
      </c>
    </row>
    <row r="13" customFormat="false" ht="15" hidden="false" customHeight="true" outlineLevel="0" collapsed="false">
      <c r="A13" s="14"/>
      <c r="B13" s="14"/>
      <c r="C13" s="14"/>
      <c r="D13" s="14"/>
      <c r="E13" s="14"/>
      <c r="F13" s="18" t="str">
        <f aca="false">IF(C13="","",C13*E13)</f>
        <v/>
      </c>
      <c r="G13" s="18" t="str">
        <f aca="false">IF(D13="","",D13*E13)</f>
        <v/>
      </c>
    </row>
    <row r="14" customFormat="false" ht="15" hidden="false" customHeight="true" outlineLevel="0" collapsed="false">
      <c r="A14" s="14"/>
      <c r="B14" s="14"/>
      <c r="C14" s="14"/>
      <c r="D14" s="14"/>
      <c r="E14" s="14"/>
      <c r="F14" s="18" t="str">
        <f aca="false">IF(C14="","",C14*E14)</f>
        <v/>
      </c>
      <c r="G14" s="18" t="str">
        <f aca="false">IF(D14="","",D14*E14)</f>
        <v/>
      </c>
    </row>
    <row r="15" customFormat="false" ht="15" hidden="false" customHeight="true" outlineLevel="0" collapsed="false">
      <c r="A15" s="14"/>
      <c r="B15" s="14"/>
      <c r="C15" s="14"/>
      <c r="D15" s="14"/>
      <c r="E15" s="14"/>
      <c r="F15" s="18" t="str">
        <f aca="false">IF(C15="","",C15*E15)</f>
        <v/>
      </c>
      <c r="G15" s="18" t="str">
        <f aca="false">IF(D15="","",D15*E15)</f>
        <v/>
      </c>
    </row>
    <row r="16" customFormat="false" ht="15" hidden="false" customHeight="true" outlineLevel="0" collapsed="false">
      <c r="A16" s="14"/>
      <c r="B16" s="14"/>
      <c r="C16" s="14"/>
      <c r="D16" s="14"/>
      <c r="E16" s="14"/>
      <c r="F16" s="18" t="str">
        <f aca="false">IF(C16="","",C16*E16)</f>
        <v/>
      </c>
      <c r="G16" s="18" t="str">
        <f aca="false">IF(D16="","",D16*E16)</f>
        <v/>
      </c>
    </row>
    <row r="17" customFormat="false" ht="15" hidden="false" customHeight="true" outlineLevel="0" collapsed="false">
      <c r="A17" s="14"/>
      <c r="B17" s="14"/>
      <c r="C17" s="14"/>
      <c r="D17" s="14"/>
      <c r="E17" s="14"/>
      <c r="F17" s="18" t="str">
        <f aca="false">IF(C17="","",C17*E17)</f>
        <v/>
      </c>
      <c r="G17" s="18" t="str">
        <f aca="false">IF(D17="","",D17*E17)</f>
        <v/>
      </c>
    </row>
    <row r="18" customFormat="false" ht="15" hidden="false" customHeight="true" outlineLevel="0" collapsed="false">
      <c r="A18" s="14"/>
      <c r="B18" s="14"/>
      <c r="C18" s="14"/>
      <c r="D18" s="14"/>
      <c r="E18" s="14"/>
      <c r="F18" s="18" t="str">
        <f aca="false">IF(C18="","",C18*E18)</f>
        <v/>
      </c>
      <c r="G18" s="18" t="str">
        <f aca="false">IF(D18="","",D18*E18)</f>
        <v/>
      </c>
    </row>
    <row r="19" customFormat="false" ht="15" hidden="false" customHeight="true" outlineLevel="0" collapsed="false">
      <c r="A19" s="14"/>
      <c r="B19" s="14"/>
      <c r="C19" s="14"/>
      <c r="D19" s="14"/>
      <c r="E19" s="14"/>
      <c r="F19" s="18" t="str">
        <f aca="false">IF(C19="","",C19*E19)</f>
        <v/>
      </c>
      <c r="G19" s="18" t="str">
        <f aca="false">IF(D19="","",D19*E19)</f>
        <v/>
      </c>
    </row>
    <row r="20" customFormat="false" ht="15" hidden="false" customHeight="true" outlineLevel="0" collapsed="false">
      <c r="A20" s="14"/>
      <c r="B20" s="14"/>
      <c r="C20" s="14"/>
      <c r="D20" s="14"/>
      <c r="E20" s="14"/>
      <c r="F20" s="18" t="str">
        <f aca="false">IF(C20="","",C20*E20)</f>
        <v/>
      </c>
      <c r="G20" s="18" t="str">
        <f aca="false">IF(D20="","",D20*E20)</f>
        <v/>
      </c>
    </row>
    <row r="21" customFormat="false" ht="15" hidden="false" customHeight="true" outlineLevel="0" collapsed="false">
      <c r="A21" s="14"/>
      <c r="B21" s="14"/>
      <c r="C21" s="14"/>
      <c r="D21" s="14"/>
      <c r="E21" s="14"/>
      <c r="F21" s="18" t="str">
        <f aca="false">IF(C21="","",C21*E21)</f>
        <v/>
      </c>
      <c r="G21" s="18" t="str">
        <f aca="false">IF(D21="","",D21*E21)</f>
        <v/>
      </c>
    </row>
    <row r="22" customFormat="false" ht="15" hidden="false" customHeight="true" outlineLevel="0" collapsed="false">
      <c r="A22" s="14"/>
      <c r="B22" s="14"/>
      <c r="C22" s="14"/>
      <c r="D22" s="14"/>
      <c r="E22" s="14"/>
      <c r="F22" s="18" t="str">
        <f aca="false">IF(C22="","",C22*E22)</f>
        <v/>
      </c>
      <c r="G22" s="18" t="str">
        <f aca="false">IF(D22="","",D22*E22)</f>
        <v/>
      </c>
    </row>
    <row r="23" customFormat="false" ht="15" hidden="false" customHeight="true" outlineLevel="0" collapsed="false">
      <c r="A23" s="14"/>
      <c r="B23" s="14"/>
      <c r="C23" s="14"/>
      <c r="D23" s="14"/>
      <c r="E23" s="14"/>
      <c r="F23" s="18" t="str">
        <f aca="false">IF(C23="","",C23*E23)</f>
        <v/>
      </c>
      <c r="G23" s="18" t="str">
        <f aca="false">IF(D23="","",D23*E23)</f>
        <v/>
      </c>
    </row>
    <row r="24" customFormat="false" ht="15" hidden="false" customHeight="true" outlineLevel="0" collapsed="false">
      <c r="A24" s="14"/>
      <c r="B24" s="14"/>
      <c r="C24" s="14"/>
      <c r="D24" s="14"/>
      <c r="E24" s="14"/>
      <c r="F24" s="18" t="str">
        <f aca="false">IF(C24="","",C24*E24)</f>
        <v/>
      </c>
      <c r="G24" s="18" t="str">
        <f aca="false">IF(D24="","",D24*E24)</f>
        <v/>
      </c>
    </row>
    <row r="25" customFormat="false" ht="15" hidden="false" customHeight="true" outlineLevel="0" collapsed="false">
      <c r="A25" s="14"/>
      <c r="B25" s="14"/>
      <c r="C25" s="14"/>
      <c r="D25" s="14"/>
      <c r="E25" s="14"/>
      <c r="F25" s="18" t="str">
        <f aca="false">IF(C25="","",C25*E25)</f>
        <v/>
      </c>
      <c r="G25" s="18" t="str">
        <f aca="false">IF(D25="","",D25*E25)</f>
        <v/>
      </c>
    </row>
    <row r="28" customFormat="false" ht="15" hidden="false" customHeight="true" outlineLevel="0" collapsed="false">
      <c r="A28" s="16" t="s">
        <v>147</v>
      </c>
    </row>
    <row r="29" customFormat="false" ht="15" hidden="false" customHeight="true" outlineLevel="0" collapsed="false">
      <c r="A29" s="22" t="s">
        <v>148</v>
      </c>
      <c r="B29" s="22" t="s">
        <v>149</v>
      </c>
      <c r="C29" s="22" t="s">
        <v>150</v>
      </c>
      <c r="D29" s="22" t="s">
        <v>151</v>
      </c>
    </row>
    <row r="30" customFormat="false" ht="15" hidden="false" customHeight="true" outlineLevel="0" collapsed="false">
      <c r="A30" s="14" t="s">
        <v>152</v>
      </c>
      <c r="B30" s="14" t="n">
        <v>250</v>
      </c>
      <c r="C30" s="14" t="n">
        <v>1</v>
      </c>
      <c r="D30" s="18" t="n">
        <f aca="false">B30*C30</f>
        <v>250</v>
      </c>
    </row>
    <row r="31" customFormat="false" ht="15" hidden="false" customHeight="true" outlineLevel="0" collapsed="false">
      <c r="A31" s="14" t="s">
        <v>153</v>
      </c>
      <c r="B31" s="14" t="n">
        <v>300</v>
      </c>
      <c r="C31" s="14" t="n">
        <v>0.5</v>
      </c>
      <c r="D31" s="18" t="n">
        <f aca="false">B31*C31</f>
        <v>150</v>
      </c>
    </row>
    <row r="32" customFormat="false" ht="15" hidden="false" customHeight="true" outlineLevel="0" collapsed="false">
      <c r="A32" s="14" t="s">
        <v>154</v>
      </c>
      <c r="B32" s="14" t="n">
        <v>200</v>
      </c>
      <c r="C32" s="14" t="n">
        <v>1</v>
      </c>
      <c r="D32" s="18" t="n">
        <f aca="false">B32*C32</f>
        <v>200</v>
      </c>
    </row>
    <row r="36" customFormat="false" ht="15" hidden="false" customHeight="true" outlineLevel="0" collapsed="false">
      <c r="A36" s="16" t="s">
        <v>128</v>
      </c>
    </row>
    <row r="37" customFormat="false" ht="15" hidden="false" customHeight="true" outlineLevel="0" collapsed="false">
      <c r="A37" s="1" t="s">
        <v>155</v>
      </c>
      <c r="B37" s="14" t="n">
        <v>0.1</v>
      </c>
    </row>
    <row r="38" customFormat="false" ht="15" hidden="false" customHeight="true" outlineLevel="0" collapsed="false">
      <c r="A38" s="1" t="s">
        <v>156</v>
      </c>
      <c r="B38" s="1" t="n">
        <f aca="false">SUM(G6:G26)*B37</f>
        <v>202</v>
      </c>
    </row>
    <row r="39" customFormat="false" ht="15" hidden="false" customHeight="true" outlineLevel="0" collapsed="false">
      <c r="A39" s="1" t="s">
        <v>157</v>
      </c>
      <c r="B39" s="1" t="n">
        <f aca="false">SUM(D30:D32)</f>
        <v>600</v>
      </c>
    </row>
    <row r="40" customFormat="false" ht="15" hidden="false" customHeight="true" outlineLevel="0" collapsed="false">
      <c r="A40" s="1" t="s">
        <v>158</v>
      </c>
      <c r="B40" s="23" t="n">
        <f aca="false">B38+B39</f>
        <v>802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2"/>
    <col collapsed="false" customWidth="true" hidden="false" outlineLevel="0" max="5" min="4" style="1" width="14"/>
    <col collapsed="false" customWidth="true" hidden="false" outlineLevel="0" max="7" min="6" style="1" width="12"/>
  </cols>
  <sheetData>
    <row r="1" customFormat="false" ht="17.25" hidden="false" customHeight="true" outlineLevel="0" collapsed="false">
      <c r="A1" s="24" t="s">
        <v>159</v>
      </c>
      <c r="B1" s="24"/>
      <c r="C1" s="24"/>
      <c r="D1" s="24"/>
      <c r="E1" s="24"/>
    </row>
    <row r="3" customFormat="false" ht="15" hidden="false" customHeight="true" outlineLevel="0" collapsed="false">
      <c r="A3" s="12" t="s">
        <v>160</v>
      </c>
    </row>
    <row r="5" customFormat="false" ht="15" hidden="false" customHeight="true" outlineLevel="0" collapsed="false">
      <c r="A5" s="25" t="s">
        <v>148</v>
      </c>
      <c r="B5" s="25" t="s">
        <v>149</v>
      </c>
      <c r="C5" s="25" t="s">
        <v>161</v>
      </c>
      <c r="D5" s="25" t="s">
        <v>162</v>
      </c>
      <c r="E5" s="25" t="s">
        <v>151</v>
      </c>
      <c r="F5" s="25" t="s">
        <v>163</v>
      </c>
      <c r="G5" s="25" t="s">
        <v>164</v>
      </c>
    </row>
    <row r="6" customFormat="false" ht="15" hidden="false" customHeight="true" outlineLevel="0" collapsed="false">
      <c r="A6" s="14" t="s">
        <v>165</v>
      </c>
      <c r="B6" s="14" t="n">
        <v>15</v>
      </c>
      <c r="C6" s="14" t="n">
        <v>6.75</v>
      </c>
      <c r="D6" s="14" t="n">
        <v>20</v>
      </c>
      <c r="E6" s="18" t="n">
        <f aca="false">B6*D6</f>
        <v>300</v>
      </c>
      <c r="F6" s="18" t="n">
        <f aca="false">C6*D6</f>
        <v>135</v>
      </c>
      <c r="G6" s="18" t="n">
        <f aca="false">E6-F6</f>
        <v>165</v>
      </c>
    </row>
    <row r="7" customFormat="false" ht="15" hidden="false" customHeight="true" outlineLevel="0" collapsed="false">
      <c r="A7" s="14" t="s">
        <v>166</v>
      </c>
      <c r="B7" s="14" t="n">
        <v>18</v>
      </c>
      <c r="C7" s="14" t="n">
        <v>9</v>
      </c>
      <c r="D7" s="14" t="n">
        <v>15</v>
      </c>
      <c r="E7" s="18" t="n">
        <f aca="false">B7*D7</f>
        <v>270</v>
      </c>
      <c r="F7" s="18" t="n">
        <f aca="false">C7*D7</f>
        <v>135</v>
      </c>
      <c r="G7" s="18" t="n">
        <f aca="false">E7-F7</f>
        <v>135</v>
      </c>
    </row>
    <row r="8" customFormat="false" ht="15" hidden="false" customHeight="true" outlineLevel="0" collapsed="false">
      <c r="A8" s="14" t="s">
        <v>167</v>
      </c>
      <c r="B8" s="14" t="n">
        <v>22</v>
      </c>
      <c r="C8" s="14" t="n">
        <v>12</v>
      </c>
      <c r="D8" s="14" t="n">
        <v>5</v>
      </c>
      <c r="E8" s="18" t="n">
        <f aca="false">B8*D8</f>
        <v>110</v>
      </c>
      <c r="F8" s="18" t="n">
        <f aca="false">C8*D8</f>
        <v>60</v>
      </c>
      <c r="G8" s="18" t="n">
        <f aca="false">E8-F8</f>
        <v>50</v>
      </c>
    </row>
    <row r="9" customFormat="false" ht="15" hidden="false" customHeight="true" outlineLevel="0" collapsed="false">
      <c r="A9" s="14" t="s">
        <v>168</v>
      </c>
      <c r="B9" s="14" t="n">
        <v>0</v>
      </c>
      <c r="C9" s="14" t="n">
        <v>0</v>
      </c>
      <c r="D9" s="14" t="n">
        <v>0</v>
      </c>
      <c r="E9" s="18" t="n">
        <f aca="false">B9*D9</f>
        <v>0</v>
      </c>
      <c r="F9" s="18" t="n">
        <f aca="false">C9*D9</f>
        <v>0</v>
      </c>
      <c r="G9" s="18" t="n">
        <f aca="false">E9-F9</f>
        <v>0</v>
      </c>
    </row>
    <row r="12" customFormat="false" ht="15" hidden="false" customHeight="true" outlineLevel="0" collapsed="false">
      <c r="A12" s="16" t="s">
        <v>169</v>
      </c>
    </row>
    <row r="13" customFormat="false" ht="15" hidden="false" customHeight="true" outlineLevel="0" collapsed="false">
      <c r="A13" s="25" t="s">
        <v>170</v>
      </c>
      <c r="B13" s="25" t="s">
        <v>171</v>
      </c>
      <c r="C13" s="25" t="s">
        <v>172</v>
      </c>
      <c r="D13" s="25" t="s">
        <v>173</v>
      </c>
      <c r="E13" s="25" t="s">
        <v>151</v>
      </c>
    </row>
    <row r="14" customFormat="false" ht="15" hidden="false" customHeight="true" outlineLevel="0" collapsed="false">
      <c r="A14" s="14" t="s">
        <v>174</v>
      </c>
      <c r="B14" s="14" t="n">
        <v>60</v>
      </c>
      <c r="C14" s="14" t="n">
        <v>4</v>
      </c>
      <c r="D14" s="14" t="n">
        <v>2</v>
      </c>
      <c r="E14" s="18" t="n">
        <f aca="false">B14*C14*D14</f>
        <v>480</v>
      </c>
    </row>
    <row r="15" customFormat="false" ht="15" hidden="false" customHeight="true" outlineLevel="0" collapsed="false">
      <c r="A15" s="14" t="s">
        <v>175</v>
      </c>
      <c r="B15" s="14" t="n">
        <v>45</v>
      </c>
      <c r="C15" s="14" t="n">
        <v>6</v>
      </c>
      <c r="D15" s="14" t="n">
        <v>4</v>
      </c>
      <c r="E15" s="18" t="n">
        <f aca="false">B15*C15*D15</f>
        <v>1080</v>
      </c>
    </row>
    <row r="16" customFormat="false" ht="15" hidden="false" customHeight="true" outlineLevel="0" collapsed="false">
      <c r="A16" s="14" t="s">
        <v>176</v>
      </c>
      <c r="B16" s="14" t="n">
        <v>80</v>
      </c>
      <c r="C16" s="14" t="n">
        <v>3</v>
      </c>
      <c r="D16" s="14" t="n">
        <v>1</v>
      </c>
      <c r="E16" s="18" t="n">
        <f aca="false">B16*C16*D16</f>
        <v>240</v>
      </c>
    </row>
    <row r="20" customFormat="false" ht="15" hidden="false" customHeight="true" outlineLevel="0" collapsed="false">
      <c r="A20" s="16" t="s">
        <v>177</v>
      </c>
    </row>
    <row r="21" customFormat="false" ht="15" hidden="false" customHeight="true" outlineLevel="0" collapsed="false">
      <c r="A21" s="1" t="s">
        <v>178</v>
      </c>
      <c r="B21" s="1" t="n">
        <f aca="false">SUM(E6:E9)</f>
        <v>680</v>
      </c>
    </row>
    <row r="22" customFormat="false" ht="15" hidden="false" customHeight="true" outlineLevel="0" collapsed="false">
      <c r="A22" s="1" t="s">
        <v>179</v>
      </c>
      <c r="B22" s="1" t="n">
        <f aca="false">SUM(F6:F9)</f>
        <v>330</v>
      </c>
    </row>
    <row r="23" customFormat="false" ht="15" hidden="false" customHeight="true" outlineLevel="0" collapsed="false">
      <c r="A23" s="1" t="s">
        <v>180</v>
      </c>
      <c r="B23" s="1" t="n">
        <f aca="false">SUM(E14:E16)</f>
        <v>1800</v>
      </c>
    </row>
    <row r="24" customFormat="false" ht="15" hidden="false" customHeight="true" outlineLevel="0" collapsed="false">
      <c r="A24" s="1" t="s">
        <v>181</v>
      </c>
      <c r="B24" s="20" t="n">
        <f aca="false">B21+B23</f>
        <v>2480</v>
      </c>
    </row>
    <row r="25" customFormat="false" ht="15" hidden="false" customHeight="true" outlineLevel="0" collapsed="false">
      <c r="A25" s="1" t="s">
        <v>182</v>
      </c>
      <c r="B25" s="23" t="n">
        <f aca="false">B24-B22</f>
        <v>2150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30"/>
    <col collapsed="false" customWidth="true" hidden="false" outlineLevel="0" max="8" min="6" style="1" width="12"/>
    <col collapsed="false" customWidth="true" hidden="false" outlineLevel="0" max="9" min="9" style="1" width="20"/>
  </cols>
  <sheetData>
    <row r="1" customFormat="false" ht="19.5" hidden="false" customHeight="true" outlineLevel="0" collapsed="false">
      <c r="A1" s="26" t="s">
        <v>183</v>
      </c>
      <c r="B1" s="26"/>
      <c r="C1" s="26"/>
      <c r="D1" s="26"/>
      <c r="E1" s="26"/>
      <c r="F1" s="26"/>
      <c r="G1" s="26"/>
      <c r="H1" s="26"/>
      <c r="I1" s="26"/>
    </row>
    <row r="2" customFormat="false" ht="15" hidden="false" customHeight="true" outlineLevel="0" collapsed="false">
      <c r="A2" s="12" t="s">
        <v>184</v>
      </c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185</v>
      </c>
      <c r="D4" s="3" t="s">
        <v>103</v>
      </c>
      <c r="E4" s="3" t="s">
        <v>186</v>
      </c>
      <c r="F4" s="3" t="s">
        <v>187</v>
      </c>
      <c r="G4" s="3" t="s">
        <v>188</v>
      </c>
      <c r="H4" s="3" t="s">
        <v>189</v>
      </c>
      <c r="I4" s="3" t="s">
        <v>190</v>
      </c>
    </row>
    <row r="5" customFormat="false" ht="15" hidden="false" customHeight="true" outlineLevel="0" collapsed="false">
      <c r="A5" s="1" t="s">
        <v>191</v>
      </c>
      <c r="B5" s="27" t="s">
        <v>11</v>
      </c>
      <c r="C5" s="27" t="s">
        <v>192</v>
      </c>
      <c r="D5" s="27" t="s">
        <v>193</v>
      </c>
      <c r="E5" s="1" t="s">
        <v>194</v>
      </c>
      <c r="F5" s="1" t="n">
        <v>10000</v>
      </c>
      <c r="G5" s="1" t="n">
        <v>0</v>
      </c>
      <c r="H5" s="1" t="n">
        <f aca="false">F5-G5</f>
        <v>10000</v>
      </c>
      <c r="I5" s="1" t="s">
        <v>195</v>
      </c>
    </row>
    <row r="6" customFormat="false" ht="15" hidden="false" customHeight="true" outlineLevel="0" collapsed="false">
      <c r="A6" s="28" t="s">
        <v>196</v>
      </c>
      <c r="B6" s="28" t="s">
        <v>11</v>
      </c>
      <c r="C6" s="28" t="s">
        <v>197</v>
      </c>
      <c r="D6" s="28" t="s">
        <v>198</v>
      </c>
      <c r="E6" s="28" t="s">
        <v>199</v>
      </c>
      <c r="F6" s="18"/>
      <c r="G6" s="29" t="n">
        <v>120</v>
      </c>
      <c r="H6" s="18" t="n">
        <f aca="false">H5+F6-G6</f>
        <v>9880</v>
      </c>
      <c r="I6" s="14"/>
    </row>
    <row r="7" customFormat="false" ht="15" hidden="false" customHeight="true" outlineLevel="0" collapsed="false">
      <c r="A7" s="28" t="s">
        <v>200</v>
      </c>
      <c r="B7" s="28" t="s">
        <v>11</v>
      </c>
      <c r="C7" s="28" t="s">
        <v>197</v>
      </c>
      <c r="D7" s="28" t="s">
        <v>198</v>
      </c>
      <c r="E7" s="28" t="s">
        <v>201</v>
      </c>
      <c r="F7" s="18"/>
      <c r="G7" s="29" t="n">
        <v>30</v>
      </c>
      <c r="H7" s="18" t="n">
        <f aca="false">H6+F7-G7</f>
        <v>9850</v>
      </c>
      <c r="I7" s="14"/>
    </row>
    <row r="8" customFormat="false" ht="15" hidden="false" customHeight="true" outlineLevel="0" collapsed="false">
      <c r="A8" s="28" t="s">
        <v>202</v>
      </c>
      <c r="B8" s="28" t="s">
        <v>18</v>
      </c>
      <c r="C8" s="28" t="s">
        <v>197</v>
      </c>
      <c r="D8" s="28" t="s">
        <v>203</v>
      </c>
      <c r="E8" s="28" t="s">
        <v>204</v>
      </c>
      <c r="F8" s="18"/>
      <c r="G8" s="29" t="n">
        <v>300</v>
      </c>
      <c r="H8" s="18" t="n">
        <f aca="false">H7+F8-G8</f>
        <v>9550</v>
      </c>
      <c r="I8" s="14"/>
    </row>
    <row r="9" customFormat="false" ht="15" hidden="false" customHeight="true" outlineLevel="0" collapsed="false">
      <c r="A9" s="28" t="s">
        <v>205</v>
      </c>
      <c r="B9" s="28" t="s">
        <v>11</v>
      </c>
      <c r="C9" s="28" t="s">
        <v>197</v>
      </c>
      <c r="D9" s="28" t="s">
        <v>206</v>
      </c>
      <c r="E9" s="28" t="s">
        <v>207</v>
      </c>
      <c r="F9" s="18"/>
      <c r="G9" s="29" t="n">
        <v>80</v>
      </c>
      <c r="H9" s="18" t="n">
        <f aca="false">H8+F9-G9</f>
        <v>9470</v>
      </c>
      <c r="I9" s="14"/>
    </row>
    <row r="10" customFormat="false" ht="15" hidden="false" customHeight="true" outlineLevel="0" collapsed="false">
      <c r="A10" s="28" t="s">
        <v>205</v>
      </c>
      <c r="B10" s="28" t="s">
        <v>11</v>
      </c>
      <c r="C10" s="28" t="s">
        <v>197</v>
      </c>
      <c r="D10" s="28" t="s">
        <v>206</v>
      </c>
      <c r="E10" s="28" t="s">
        <v>208</v>
      </c>
      <c r="F10" s="18"/>
      <c r="G10" s="29" t="n">
        <v>50</v>
      </c>
      <c r="H10" s="18" t="n">
        <f aca="false">H9+F10-G10</f>
        <v>9420</v>
      </c>
      <c r="I10" s="14"/>
    </row>
    <row r="11" customFormat="false" ht="15" hidden="false" customHeight="true" outlineLevel="0" collapsed="false">
      <c r="A11" s="28" t="s">
        <v>209</v>
      </c>
      <c r="B11" s="28" t="s">
        <v>30</v>
      </c>
      <c r="C11" s="28" t="s">
        <v>197</v>
      </c>
      <c r="D11" s="28" t="s">
        <v>210</v>
      </c>
      <c r="E11" s="28" t="s">
        <v>211</v>
      </c>
      <c r="F11" s="18"/>
      <c r="G11" s="29" t="n">
        <v>900</v>
      </c>
      <c r="H11" s="18" t="n">
        <f aca="false">H10+F11-G11</f>
        <v>8520</v>
      </c>
      <c r="I11" s="14"/>
    </row>
    <row r="12" customFormat="false" ht="15" hidden="false" customHeight="true" outlineLevel="0" collapsed="false">
      <c r="A12" s="28" t="s">
        <v>212</v>
      </c>
      <c r="B12" s="28" t="s">
        <v>30</v>
      </c>
      <c r="C12" s="28" t="s">
        <v>197</v>
      </c>
      <c r="D12" s="28" t="s">
        <v>210</v>
      </c>
      <c r="E12" s="28" t="s">
        <v>213</v>
      </c>
      <c r="F12" s="18"/>
      <c r="G12" s="29" t="n">
        <v>450</v>
      </c>
      <c r="H12" s="18" t="n">
        <f aca="false">H11+F12-G12</f>
        <v>8070</v>
      </c>
      <c r="I12" s="14"/>
    </row>
    <row r="13" customFormat="false" ht="15" hidden="false" customHeight="true" outlineLevel="0" collapsed="false">
      <c r="A13" s="28" t="s">
        <v>214</v>
      </c>
      <c r="B13" s="28" t="s">
        <v>30</v>
      </c>
      <c r="C13" s="28" t="s">
        <v>197</v>
      </c>
      <c r="D13" s="28" t="s">
        <v>203</v>
      </c>
      <c r="E13" s="28" t="s">
        <v>215</v>
      </c>
      <c r="F13" s="19"/>
      <c r="G13" s="29" t="n">
        <v>1200</v>
      </c>
      <c r="H13" s="18" t="n">
        <f aca="false">H12+F13-G13</f>
        <v>6870</v>
      </c>
      <c r="I13" s="14"/>
    </row>
    <row r="14" customFormat="false" ht="15" hidden="false" customHeight="true" outlineLevel="0" collapsed="false">
      <c r="A14" s="28" t="s">
        <v>214</v>
      </c>
      <c r="B14" s="28" t="s">
        <v>30</v>
      </c>
      <c r="C14" s="28" t="s">
        <v>197</v>
      </c>
      <c r="D14" s="28" t="s">
        <v>203</v>
      </c>
      <c r="E14" s="28" t="s">
        <v>216</v>
      </c>
      <c r="F14" s="19"/>
      <c r="G14" s="29" t="n">
        <v>500</v>
      </c>
      <c r="H14" s="18" t="n">
        <f aca="false">H13+F14-G14</f>
        <v>6370</v>
      </c>
      <c r="I14" s="14"/>
    </row>
    <row r="15" customFormat="false" ht="15" hidden="false" customHeight="true" outlineLevel="0" collapsed="false">
      <c r="A15" s="28" t="s">
        <v>214</v>
      </c>
      <c r="B15" s="28" t="s">
        <v>30</v>
      </c>
      <c r="C15" s="28" t="s">
        <v>197</v>
      </c>
      <c r="D15" s="28" t="s">
        <v>203</v>
      </c>
      <c r="E15" s="28" t="s">
        <v>217</v>
      </c>
      <c r="F15" s="18"/>
      <c r="G15" s="29" t="n">
        <v>200</v>
      </c>
      <c r="H15" s="18" t="n">
        <f aca="false">H14+F15-G15</f>
        <v>6170</v>
      </c>
      <c r="I15" s="14"/>
    </row>
    <row r="16" customFormat="false" ht="15" hidden="false" customHeight="true" outlineLevel="0" collapsed="false">
      <c r="A16" s="28" t="s">
        <v>218</v>
      </c>
      <c r="B16" s="28" t="s">
        <v>11</v>
      </c>
      <c r="C16" s="28" t="s">
        <v>197</v>
      </c>
      <c r="D16" s="28" t="s">
        <v>206</v>
      </c>
      <c r="E16" s="28" t="s">
        <v>219</v>
      </c>
      <c r="F16" s="18"/>
      <c r="G16" s="29" t="n">
        <v>80</v>
      </c>
      <c r="H16" s="18" t="n">
        <f aca="false">H15+F16-G16</f>
        <v>6090</v>
      </c>
      <c r="I16" s="14"/>
    </row>
    <row r="17" customFormat="false" ht="15" hidden="false" customHeight="true" outlineLevel="0" collapsed="false">
      <c r="A17" s="28" t="s">
        <v>218</v>
      </c>
      <c r="B17" s="28" t="s">
        <v>11</v>
      </c>
      <c r="C17" s="28" t="s">
        <v>197</v>
      </c>
      <c r="D17" s="28" t="s">
        <v>206</v>
      </c>
      <c r="E17" s="28" t="s">
        <v>220</v>
      </c>
      <c r="F17" s="18"/>
      <c r="G17" s="29" t="n">
        <v>50</v>
      </c>
      <c r="H17" s="18" t="n">
        <f aca="false">H16+F17-G17</f>
        <v>6040</v>
      </c>
      <c r="I17" s="14"/>
    </row>
    <row r="18" customFormat="false" ht="15" hidden="false" customHeight="true" outlineLevel="0" collapsed="false">
      <c r="A18" s="28" t="s">
        <v>221</v>
      </c>
      <c r="B18" s="28" t="s">
        <v>11</v>
      </c>
      <c r="C18" s="28" t="s">
        <v>197</v>
      </c>
      <c r="D18" s="28" t="s">
        <v>222</v>
      </c>
      <c r="E18" s="28" t="s">
        <v>223</v>
      </c>
      <c r="F18" s="18"/>
      <c r="G18" s="29" t="n">
        <v>350</v>
      </c>
      <c r="H18" s="18" t="n">
        <f aca="false">H17+F18-G18</f>
        <v>5690</v>
      </c>
      <c r="I18" s="14"/>
    </row>
    <row r="19" customFormat="false" ht="15" hidden="false" customHeight="true" outlineLevel="0" collapsed="false">
      <c r="A19" s="28" t="s">
        <v>224</v>
      </c>
      <c r="B19" s="28" t="s">
        <v>30</v>
      </c>
      <c r="C19" s="28" t="s">
        <v>197</v>
      </c>
      <c r="D19" s="28" t="s">
        <v>206</v>
      </c>
      <c r="E19" s="28" t="s">
        <v>225</v>
      </c>
      <c r="F19" s="18"/>
      <c r="G19" s="29" t="n">
        <v>130</v>
      </c>
      <c r="H19" s="18" t="n">
        <f aca="false">H18+F19-G19</f>
        <v>5560</v>
      </c>
      <c r="I19" s="14"/>
    </row>
    <row r="20" customFormat="false" ht="15" hidden="false" customHeight="true" outlineLevel="0" collapsed="false">
      <c r="A20" s="28" t="s">
        <v>226</v>
      </c>
      <c r="B20" s="28" t="s">
        <v>30</v>
      </c>
      <c r="C20" s="28" t="s">
        <v>197</v>
      </c>
      <c r="D20" s="28" t="s">
        <v>206</v>
      </c>
      <c r="E20" s="28" t="s">
        <v>227</v>
      </c>
      <c r="F20" s="18"/>
      <c r="G20" s="29" t="n">
        <v>150</v>
      </c>
      <c r="H20" s="18" t="n">
        <f aca="false">H19+F20-G20</f>
        <v>5410</v>
      </c>
      <c r="I20" s="14"/>
    </row>
    <row r="21" customFormat="false" ht="15" hidden="false" customHeight="true" outlineLevel="0" collapsed="false">
      <c r="A21" s="28" t="s">
        <v>226</v>
      </c>
      <c r="B21" s="28" t="s">
        <v>30</v>
      </c>
      <c r="C21" s="28" t="s">
        <v>228</v>
      </c>
      <c r="D21" s="28" t="s">
        <v>229</v>
      </c>
      <c r="E21" s="28" t="s">
        <v>230</v>
      </c>
      <c r="F21" s="19" t="n">
        <v>160</v>
      </c>
      <c r="G21" s="18"/>
      <c r="H21" s="18" t="n">
        <f aca="false">H20+F21-G21</f>
        <v>5570</v>
      </c>
      <c r="I21" s="14"/>
    </row>
    <row r="22" customFormat="false" ht="15" hidden="false" customHeight="true" outlineLevel="0" collapsed="false">
      <c r="A22" s="28" t="s">
        <v>226</v>
      </c>
      <c r="B22" s="28" t="s">
        <v>18</v>
      </c>
      <c r="C22" s="28" t="s">
        <v>228</v>
      </c>
      <c r="D22" s="28" t="s">
        <v>229</v>
      </c>
      <c r="E22" s="28" t="s">
        <v>231</v>
      </c>
      <c r="F22" s="19" t="n">
        <v>120</v>
      </c>
      <c r="G22" s="18"/>
      <c r="H22" s="18" t="n">
        <f aca="false">H21+F22-G22</f>
        <v>5690</v>
      </c>
      <c r="I22" s="14"/>
    </row>
    <row r="23" customFormat="false" ht="15" hidden="false" customHeight="true" outlineLevel="0" collapsed="false">
      <c r="A23" s="14"/>
      <c r="B23" s="14"/>
      <c r="C23" s="14"/>
      <c r="D23" s="14"/>
      <c r="E23" s="14"/>
      <c r="F23" s="18"/>
      <c r="G23" s="18"/>
      <c r="H23" s="18" t="n">
        <f aca="false">H22+F23-G23</f>
        <v>5690</v>
      </c>
      <c r="I23" s="14"/>
    </row>
    <row r="24" customFormat="false" ht="15" hidden="false" customHeight="true" outlineLevel="0" collapsed="false">
      <c r="A24" s="14"/>
      <c r="B24" s="14"/>
      <c r="C24" s="14"/>
      <c r="D24" s="14"/>
      <c r="E24" s="14"/>
      <c r="F24" s="18"/>
      <c r="G24" s="18"/>
      <c r="H24" s="18" t="n">
        <f aca="false">H23+F24-G24</f>
        <v>5690</v>
      </c>
      <c r="I24" s="14"/>
    </row>
    <row r="25" customFormat="false" ht="15" hidden="false" customHeight="true" outlineLevel="0" collapsed="false">
      <c r="A25" s="14"/>
      <c r="B25" s="14"/>
      <c r="C25" s="14"/>
      <c r="D25" s="14"/>
      <c r="E25" s="14"/>
      <c r="F25" s="18"/>
      <c r="G25" s="18"/>
      <c r="H25" s="18" t="n">
        <f aca="false">H24+F25-G25</f>
        <v>5690</v>
      </c>
      <c r="I25" s="14"/>
    </row>
    <row r="26" customFormat="false" ht="15" hidden="false" customHeight="true" outlineLevel="0" collapsed="false">
      <c r="A26" s="14"/>
      <c r="B26" s="14"/>
      <c r="C26" s="14"/>
      <c r="D26" s="14"/>
      <c r="E26" s="14"/>
      <c r="F26" s="18"/>
      <c r="G26" s="18"/>
      <c r="H26" s="18" t="n">
        <f aca="false">H25+F26-G26</f>
        <v>5690</v>
      </c>
      <c r="I26" s="14"/>
    </row>
    <row r="27" customFormat="false" ht="15" hidden="false" customHeight="true" outlineLevel="0" collapsed="false">
      <c r="A27" s="14"/>
      <c r="B27" s="14"/>
      <c r="C27" s="14"/>
      <c r="D27" s="14"/>
      <c r="E27" s="14"/>
      <c r="F27" s="18"/>
      <c r="G27" s="18"/>
      <c r="H27" s="18" t="n">
        <f aca="false">H26+F27-G27</f>
        <v>5690</v>
      </c>
      <c r="I27" s="14"/>
    </row>
    <row r="28" customFormat="false" ht="15" hidden="false" customHeight="true" outlineLevel="0" collapsed="false">
      <c r="A28" s="14"/>
      <c r="B28" s="14"/>
      <c r="C28" s="14"/>
      <c r="D28" s="14"/>
      <c r="E28" s="14"/>
      <c r="F28" s="18"/>
      <c r="G28" s="18"/>
      <c r="H28" s="18" t="n">
        <f aca="false">H27+F28-G28</f>
        <v>5690</v>
      </c>
      <c r="I28" s="14"/>
    </row>
    <row r="29" customFormat="false" ht="15" hidden="false" customHeight="true" outlineLevel="0" collapsed="false">
      <c r="A29" s="14"/>
      <c r="B29" s="14"/>
      <c r="C29" s="14"/>
      <c r="D29" s="14"/>
      <c r="E29" s="14"/>
      <c r="F29" s="18"/>
      <c r="G29" s="18"/>
      <c r="H29" s="18" t="n">
        <f aca="false">H28+F29-G29</f>
        <v>5690</v>
      </c>
      <c r="I29" s="14"/>
    </row>
    <row r="30" customFormat="false" ht="15" hidden="false" customHeight="true" outlineLevel="0" collapsed="false">
      <c r="A30" s="14"/>
      <c r="B30" s="14"/>
      <c r="C30" s="14"/>
      <c r="D30" s="14"/>
      <c r="E30" s="14"/>
      <c r="F30" s="18"/>
      <c r="G30" s="18"/>
      <c r="H30" s="18" t="n">
        <f aca="false">H29+F30-G30</f>
        <v>5690</v>
      </c>
      <c r="I30" s="14"/>
    </row>
    <row r="31" customFormat="false" ht="15" hidden="false" customHeight="true" outlineLevel="0" collapsed="false">
      <c r="A31" s="14"/>
      <c r="B31" s="14"/>
      <c r="C31" s="14"/>
      <c r="D31" s="14"/>
      <c r="E31" s="14"/>
      <c r="F31" s="18"/>
      <c r="G31" s="18"/>
      <c r="H31" s="18" t="n">
        <f aca="false">H30+F31-G31</f>
        <v>5690</v>
      </c>
      <c r="I31" s="14"/>
    </row>
    <row r="32" customFormat="false" ht="15" hidden="false" customHeight="true" outlineLevel="0" collapsed="false">
      <c r="A32" s="14"/>
      <c r="B32" s="14"/>
      <c r="C32" s="14"/>
      <c r="D32" s="14"/>
      <c r="E32" s="14"/>
      <c r="F32" s="18"/>
      <c r="G32" s="18"/>
      <c r="H32" s="18" t="n">
        <f aca="false">H31+F32-G32</f>
        <v>5690</v>
      </c>
      <c r="I32" s="14"/>
    </row>
    <row r="33" customFormat="false" ht="15" hidden="false" customHeight="true" outlineLevel="0" collapsed="false">
      <c r="A33" s="14"/>
      <c r="B33" s="14"/>
      <c r="C33" s="14"/>
      <c r="D33" s="14"/>
      <c r="E33" s="14"/>
      <c r="F33" s="18"/>
      <c r="G33" s="18"/>
      <c r="H33" s="18" t="n">
        <f aca="false">H32+F33-G33</f>
        <v>5690</v>
      </c>
      <c r="I33" s="14"/>
    </row>
    <row r="34" customFormat="false" ht="15" hidden="false" customHeight="true" outlineLevel="0" collapsed="false">
      <c r="A34" s="14"/>
      <c r="B34" s="14"/>
      <c r="C34" s="14"/>
      <c r="D34" s="14"/>
      <c r="E34" s="14"/>
      <c r="F34" s="18"/>
      <c r="G34" s="18"/>
      <c r="H34" s="18" t="n">
        <f aca="false">H33+F34-G34</f>
        <v>5690</v>
      </c>
      <c r="I34" s="14"/>
    </row>
    <row r="35" customFormat="false" ht="15" hidden="false" customHeight="true" outlineLevel="0" collapsed="false">
      <c r="A35" s="14"/>
      <c r="B35" s="14"/>
      <c r="C35" s="14"/>
      <c r="D35" s="14"/>
      <c r="E35" s="14"/>
      <c r="F35" s="18"/>
      <c r="G35" s="18"/>
      <c r="H35" s="18" t="n">
        <f aca="false">H34+F35-G35</f>
        <v>5690</v>
      </c>
      <c r="I35" s="14"/>
    </row>
    <row r="36" customFormat="false" ht="15" hidden="false" customHeight="true" outlineLevel="0" collapsed="false">
      <c r="A36" s="14"/>
      <c r="B36" s="14"/>
      <c r="C36" s="14"/>
      <c r="D36" s="14"/>
      <c r="E36" s="14"/>
      <c r="F36" s="18"/>
      <c r="G36" s="18"/>
      <c r="H36" s="18" t="n">
        <f aca="false">H35+F36-G36</f>
        <v>5690</v>
      </c>
      <c r="I36" s="14"/>
    </row>
    <row r="37" customFormat="false" ht="15" hidden="false" customHeight="true" outlineLevel="0" collapsed="false">
      <c r="A37" s="14"/>
      <c r="B37" s="14"/>
      <c r="C37" s="14"/>
      <c r="D37" s="14"/>
      <c r="E37" s="14"/>
      <c r="F37" s="18"/>
      <c r="G37" s="18"/>
      <c r="H37" s="18" t="n">
        <f aca="false">H36+F37-G37</f>
        <v>5690</v>
      </c>
      <c r="I37" s="14"/>
    </row>
    <row r="38" customFormat="false" ht="15" hidden="false" customHeight="true" outlineLevel="0" collapsed="false">
      <c r="A38" s="14"/>
      <c r="B38" s="14"/>
      <c r="C38" s="14"/>
      <c r="D38" s="14"/>
      <c r="E38" s="14"/>
      <c r="F38" s="18"/>
      <c r="G38" s="18"/>
      <c r="H38" s="18" t="n">
        <f aca="false">H37+F38-G38</f>
        <v>5690</v>
      </c>
      <c r="I38" s="14"/>
    </row>
    <row r="39" customFormat="false" ht="15" hidden="false" customHeight="true" outlineLevel="0" collapsed="false">
      <c r="A39" s="14"/>
      <c r="B39" s="14"/>
      <c r="C39" s="14"/>
      <c r="D39" s="14"/>
      <c r="E39" s="14"/>
      <c r="F39" s="18"/>
      <c r="G39" s="18"/>
      <c r="H39" s="18" t="n">
        <f aca="false">H38+F39-G39</f>
        <v>5690</v>
      </c>
      <c r="I39" s="14"/>
    </row>
    <row r="40" customFormat="false" ht="15" hidden="false" customHeight="true" outlineLevel="0" collapsed="false">
      <c r="A40" s="14"/>
      <c r="B40" s="14"/>
      <c r="C40" s="14"/>
      <c r="D40" s="14"/>
      <c r="E40" s="14"/>
      <c r="F40" s="18"/>
      <c r="G40" s="18"/>
      <c r="H40" s="18" t="n">
        <f aca="false">H39+F40-G40</f>
        <v>5690</v>
      </c>
      <c r="I40" s="14"/>
    </row>
    <row r="41" customFormat="false" ht="15" hidden="false" customHeight="true" outlineLevel="0" collapsed="false">
      <c r="A41" s="14"/>
      <c r="B41" s="14"/>
      <c r="C41" s="14"/>
      <c r="D41" s="14"/>
      <c r="E41" s="14"/>
      <c r="F41" s="18"/>
      <c r="G41" s="18"/>
      <c r="H41" s="18" t="n">
        <f aca="false">H40+F41-G41</f>
        <v>5690</v>
      </c>
      <c r="I41" s="14"/>
    </row>
    <row r="42" customFormat="false" ht="15" hidden="false" customHeight="true" outlineLevel="0" collapsed="false">
      <c r="A42" s="14"/>
      <c r="B42" s="14"/>
      <c r="C42" s="14"/>
      <c r="D42" s="14"/>
      <c r="E42" s="14"/>
      <c r="F42" s="18"/>
      <c r="G42" s="18"/>
      <c r="H42" s="18" t="n">
        <f aca="false">H41+F42-G42</f>
        <v>5690</v>
      </c>
      <c r="I42" s="14"/>
    </row>
    <row r="43" customFormat="false" ht="15" hidden="false" customHeight="true" outlineLevel="0" collapsed="false">
      <c r="A43" s="14"/>
      <c r="B43" s="14"/>
      <c r="C43" s="14"/>
      <c r="D43" s="14"/>
      <c r="E43" s="14"/>
      <c r="F43" s="18"/>
      <c r="G43" s="18"/>
      <c r="H43" s="18" t="n">
        <f aca="false">H42+F43-G43</f>
        <v>5690</v>
      </c>
      <c r="I43" s="14"/>
    </row>
    <row r="44" customFormat="false" ht="15" hidden="false" customHeight="true" outlineLevel="0" collapsed="false">
      <c r="A44" s="14"/>
      <c r="B44" s="14"/>
      <c r="C44" s="14"/>
      <c r="D44" s="14"/>
      <c r="E44" s="14"/>
      <c r="F44" s="18"/>
      <c r="G44" s="18"/>
      <c r="H44" s="18" t="n">
        <f aca="false">H43+F44-G44</f>
        <v>5690</v>
      </c>
      <c r="I44" s="14"/>
    </row>
    <row r="45" customFormat="false" ht="15" hidden="false" customHeight="true" outlineLevel="0" collapsed="false">
      <c r="A45" s="14"/>
      <c r="B45" s="14"/>
      <c r="C45" s="14"/>
      <c r="D45" s="14"/>
      <c r="E45" s="14"/>
      <c r="F45" s="18"/>
      <c r="G45" s="18"/>
      <c r="H45" s="18" t="n">
        <f aca="false">H44+F45-G45</f>
        <v>5690</v>
      </c>
      <c r="I45" s="14"/>
    </row>
    <row r="46" customFormat="false" ht="15" hidden="false" customHeight="true" outlineLevel="0" collapsed="false">
      <c r="A46" s="14"/>
      <c r="B46" s="14"/>
      <c r="C46" s="14"/>
      <c r="D46" s="14"/>
      <c r="E46" s="14"/>
      <c r="F46" s="18"/>
      <c r="G46" s="18"/>
      <c r="H46" s="18" t="n">
        <f aca="false">H45+F46-G46</f>
        <v>5690</v>
      </c>
      <c r="I46" s="14"/>
    </row>
    <row r="47" customFormat="false" ht="15" hidden="false" customHeight="true" outlineLevel="0" collapsed="false">
      <c r="A47" s="14"/>
      <c r="B47" s="14"/>
      <c r="C47" s="14"/>
      <c r="D47" s="14"/>
      <c r="E47" s="14"/>
      <c r="F47" s="18"/>
      <c r="G47" s="18"/>
      <c r="H47" s="18" t="n">
        <f aca="false">H46+F47-G47</f>
        <v>5690</v>
      </c>
      <c r="I47" s="14"/>
    </row>
    <row r="48" customFormat="false" ht="15" hidden="false" customHeight="true" outlineLevel="0" collapsed="false">
      <c r="A48" s="14"/>
      <c r="B48" s="14"/>
      <c r="C48" s="14"/>
      <c r="D48" s="14"/>
      <c r="E48" s="14"/>
      <c r="F48" s="18"/>
      <c r="G48" s="18"/>
      <c r="H48" s="18" t="n">
        <f aca="false">H47+F48-G48</f>
        <v>5690</v>
      </c>
      <c r="I48" s="14"/>
    </row>
    <row r="49" customFormat="false" ht="15" hidden="false" customHeight="true" outlineLevel="0" collapsed="false">
      <c r="A49" s="14"/>
      <c r="B49" s="14"/>
      <c r="C49" s="14"/>
      <c r="D49" s="14"/>
      <c r="E49" s="14"/>
      <c r="F49" s="18"/>
      <c r="G49" s="18"/>
      <c r="H49" s="18" t="n">
        <f aca="false">H48+F49-G49</f>
        <v>5690</v>
      </c>
      <c r="I49" s="14"/>
    </row>
    <row r="50" customFormat="false" ht="15" hidden="false" customHeight="true" outlineLevel="0" collapsed="false">
      <c r="A50" s="14"/>
      <c r="B50" s="14"/>
      <c r="C50" s="14"/>
      <c r="D50" s="14"/>
      <c r="E50" s="14"/>
      <c r="F50" s="18"/>
      <c r="G50" s="18"/>
      <c r="H50" s="18" t="n">
        <f aca="false">H49+F50-G50</f>
        <v>5690</v>
      </c>
      <c r="I50" s="14"/>
    </row>
    <row r="51" customFormat="false" ht="15" hidden="false" customHeight="true" outlineLevel="0" collapsed="false">
      <c r="A51" s="14"/>
      <c r="B51" s="14"/>
      <c r="C51" s="14"/>
      <c r="D51" s="14"/>
      <c r="E51" s="14"/>
      <c r="F51" s="18"/>
      <c r="G51" s="18"/>
      <c r="H51" s="18" t="n">
        <f aca="false">H50+F51-G51</f>
        <v>5690</v>
      </c>
      <c r="I51" s="14"/>
    </row>
    <row r="52" customFormat="false" ht="15" hidden="false" customHeight="true" outlineLevel="0" collapsed="false">
      <c r="A52" s="14"/>
      <c r="B52" s="14"/>
      <c r="C52" s="14"/>
      <c r="D52" s="14"/>
      <c r="E52" s="14"/>
      <c r="F52" s="18"/>
      <c r="G52" s="18"/>
      <c r="H52" s="18" t="n">
        <f aca="false">H51+F52-G52</f>
        <v>5690</v>
      </c>
      <c r="I52" s="14"/>
    </row>
    <row r="53" customFormat="false" ht="15" hidden="false" customHeight="true" outlineLevel="0" collapsed="false">
      <c r="A53" s="14"/>
      <c r="B53" s="14"/>
      <c r="C53" s="14"/>
      <c r="D53" s="14"/>
      <c r="E53" s="14"/>
      <c r="F53" s="18"/>
      <c r="G53" s="18"/>
      <c r="H53" s="18" t="n">
        <f aca="false">H52+F53-G53</f>
        <v>5690</v>
      </c>
      <c r="I53" s="14"/>
    </row>
    <row r="54" customFormat="false" ht="15" hidden="false" customHeight="true" outlineLevel="0" collapsed="false">
      <c r="A54" s="14"/>
      <c r="B54" s="14"/>
      <c r="C54" s="14"/>
      <c r="D54" s="14"/>
      <c r="E54" s="14"/>
      <c r="F54" s="18"/>
      <c r="G54" s="18"/>
      <c r="H54" s="18" t="n">
        <f aca="false">H53+F54-G54</f>
        <v>5690</v>
      </c>
      <c r="I54" s="14"/>
    </row>
    <row r="55" customFormat="false" ht="15" hidden="false" customHeight="true" outlineLevel="0" collapsed="false">
      <c r="A55" s="14"/>
      <c r="B55" s="14"/>
      <c r="C55" s="14"/>
      <c r="D55" s="14"/>
      <c r="E55" s="14"/>
      <c r="F55" s="18"/>
      <c r="G55" s="18"/>
      <c r="H55" s="18" t="n">
        <f aca="false">H54+F55-G55</f>
        <v>5690</v>
      </c>
      <c r="I55" s="14"/>
    </row>
    <row r="56" customFormat="false" ht="15" hidden="false" customHeight="true" outlineLevel="0" collapsed="false">
      <c r="A56" s="14"/>
      <c r="B56" s="14"/>
      <c r="C56" s="14"/>
      <c r="D56" s="14"/>
      <c r="E56" s="14"/>
      <c r="F56" s="18"/>
      <c r="G56" s="18"/>
      <c r="H56" s="18" t="n">
        <f aca="false">H55+F56-G56</f>
        <v>5690</v>
      </c>
      <c r="I56" s="14"/>
    </row>
    <row r="57" customFormat="false" ht="15" hidden="false" customHeight="true" outlineLevel="0" collapsed="false">
      <c r="A57" s="14"/>
      <c r="B57" s="14"/>
      <c r="C57" s="14"/>
      <c r="D57" s="14"/>
      <c r="E57" s="14"/>
      <c r="F57" s="18"/>
      <c r="G57" s="18"/>
      <c r="H57" s="18" t="n">
        <f aca="false">H56+F57-G57</f>
        <v>5690</v>
      </c>
      <c r="I57" s="14"/>
    </row>
    <row r="58" customFormat="false" ht="15" hidden="false" customHeight="true" outlineLevel="0" collapsed="false">
      <c r="A58" s="14"/>
      <c r="B58" s="14"/>
      <c r="C58" s="14"/>
      <c r="D58" s="14"/>
      <c r="E58" s="14"/>
      <c r="F58" s="18"/>
      <c r="G58" s="18"/>
      <c r="H58" s="18" t="n">
        <f aca="false">H57+F58-G58</f>
        <v>5690</v>
      </c>
      <c r="I58" s="14"/>
    </row>
    <row r="59" customFormat="false" ht="15" hidden="false" customHeight="true" outlineLevel="0" collapsed="false">
      <c r="A59" s="14"/>
      <c r="B59" s="14"/>
      <c r="C59" s="14"/>
      <c r="D59" s="14"/>
      <c r="E59" s="14"/>
      <c r="F59" s="18"/>
      <c r="G59" s="18"/>
      <c r="H59" s="18" t="n">
        <f aca="false">H58+F59-G59</f>
        <v>5690</v>
      </c>
      <c r="I59" s="14"/>
    </row>
    <row r="60" customFormat="false" ht="15" hidden="false" customHeight="true" outlineLevel="0" collapsed="false">
      <c r="A60" s="14"/>
      <c r="B60" s="14"/>
      <c r="C60" s="14"/>
      <c r="D60" s="14"/>
      <c r="E60" s="14"/>
      <c r="F60" s="18"/>
      <c r="G60" s="18"/>
      <c r="H60" s="18" t="n">
        <f aca="false">H59+F60-G60</f>
        <v>5690</v>
      </c>
      <c r="I60" s="14"/>
    </row>
    <row r="61" customFormat="false" ht="15" hidden="false" customHeight="true" outlineLevel="0" collapsed="false">
      <c r="A61" s="14"/>
      <c r="B61" s="14"/>
      <c r="C61" s="14"/>
      <c r="D61" s="14"/>
      <c r="E61" s="14"/>
      <c r="F61" s="18"/>
      <c r="G61" s="18"/>
      <c r="H61" s="18" t="n">
        <f aca="false">H60+F61-G61</f>
        <v>5690</v>
      </c>
      <c r="I61" s="14"/>
    </row>
    <row r="62" customFormat="false" ht="15" hidden="false" customHeight="true" outlineLevel="0" collapsed="false">
      <c r="A62" s="14"/>
      <c r="B62" s="14"/>
      <c r="C62" s="14"/>
      <c r="D62" s="14"/>
      <c r="E62" s="14"/>
      <c r="F62" s="18"/>
      <c r="G62" s="18"/>
      <c r="H62" s="18" t="n">
        <f aca="false">H61+F62-G62</f>
        <v>5690</v>
      </c>
      <c r="I62" s="14"/>
    </row>
    <row r="63" customFormat="false" ht="15" hidden="false" customHeight="true" outlineLevel="0" collapsed="false">
      <c r="A63" s="14"/>
      <c r="B63" s="14"/>
      <c r="C63" s="14"/>
      <c r="D63" s="14"/>
      <c r="E63" s="14"/>
      <c r="F63" s="18"/>
      <c r="G63" s="18"/>
      <c r="H63" s="18" t="n">
        <f aca="false">H62+F63-G63</f>
        <v>5690</v>
      </c>
      <c r="I63" s="14"/>
    </row>
    <row r="64" customFormat="false" ht="15" hidden="false" customHeight="true" outlineLevel="0" collapsed="false">
      <c r="A64" s="14"/>
      <c r="B64" s="14"/>
      <c r="C64" s="14"/>
      <c r="D64" s="14"/>
      <c r="E64" s="14"/>
      <c r="F64" s="18"/>
      <c r="G64" s="18"/>
      <c r="H64" s="18" t="n">
        <f aca="false">H63+F64-G64</f>
        <v>5690</v>
      </c>
      <c r="I64" s="14"/>
    </row>
    <row r="65" customFormat="false" ht="15" hidden="false" customHeight="true" outlineLevel="0" collapsed="false">
      <c r="A65" s="14"/>
      <c r="B65" s="14"/>
      <c r="C65" s="14"/>
      <c r="D65" s="14"/>
      <c r="E65" s="14"/>
      <c r="F65" s="18"/>
      <c r="G65" s="18"/>
      <c r="H65" s="18" t="n">
        <f aca="false">H64+F65-G65</f>
        <v>5690</v>
      </c>
      <c r="I65" s="14"/>
    </row>
    <row r="66" customFormat="false" ht="15" hidden="false" customHeight="true" outlineLevel="0" collapsed="false">
      <c r="A66" s="14"/>
      <c r="B66" s="14"/>
      <c r="C66" s="14"/>
      <c r="D66" s="14"/>
      <c r="E66" s="14"/>
      <c r="F66" s="18"/>
      <c r="G66" s="18"/>
      <c r="H66" s="18" t="n">
        <f aca="false">H65+F66-G66</f>
        <v>5690</v>
      </c>
      <c r="I66" s="14"/>
    </row>
    <row r="67" customFormat="false" ht="15" hidden="false" customHeight="true" outlineLevel="0" collapsed="false">
      <c r="A67" s="14"/>
      <c r="B67" s="14"/>
      <c r="C67" s="14"/>
      <c r="D67" s="14"/>
      <c r="E67" s="14"/>
      <c r="F67" s="18"/>
      <c r="G67" s="18"/>
      <c r="H67" s="18" t="n">
        <f aca="false">H66+F67-G67</f>
        <v>5690</v>
      </c>
      <c r="I67" s="14"/>
    </row>
    <row r="68" customFormat="false" ht="15" hidden="false" customHeight="true" outlineLevel="0" collapsed="false">
      <c r="A68" s="14"/>
      <c r="B68" s="14"/>
      <c r="C68" s="14"/>
      <c r="D68" s="14"/>
      <c r="E68" s="14"/>
      <c r="F68" s="18"/>
      <c r="G68" s="18"/>
      <c r="H68" s="18" t="n">
        <f aca="false">H67+F68-G68</f>
        <v>5690</v>
      </c>
      <c r="I68" s="14"/>
    </row>
    <row r="69" customFormat="false" ht="15" hidden="false" customHeight="true" outlineLevel="0" collapsed="false">
      <c r="A69" s="14"/>
      <c r="B69" s="14"/>
      <c r="C69" s="14"/>
      <c r="D69" s="14"/>
      <c r="E69" s="14"/>
      <c r="F69" s="18"/>
      <c r="G69" s="18"/>
      <c r="H69" s="18" t="n">
        <f aca="false">H68+F69-G69</f>
        <v>5690</v>
      </c>
      <c r="I69" s="14"/>
    </row>
    <row r="70" customFormat="false" ht="15" hidden="false" customHeight="true" outlineLevel="0" collapsed="false">
      <c r="A70" s="14"/>
      <c r="B70" s="14"/>
      <c r="C70" s="14"/>
      <c r="D70" s="14"/>
      <c r="E70" s="14"/>
      <c r="F70" s="18"/>
      <c r="G70" s="18"/>
      <c r="H70" s="18" t="n">
        <f aca="false">H69+F70-G70</f>
        <v>5690</v>
      </c>
      <c r="I70" s="14"/>
    </row>
    <row r="71" customFormat="false" ht="15" hidden="false" customHeight="true" outlineLevel="0" collapsed="false">
      <c r="A71" s="14"/>
      <c r="B71" s="14"/>
      <c r="C71" s="14"/>
      <c r="D71" s="14"/>
      <c r="E71" s="14"/>
      <c r="F71" s="18"/>
      <c r="G71" s="18"/>
      <c r="H71" s="18" t="n">
        <f aca="false">H70+F71-G71</f>
        <v>5690</v>
      </c>
      <c r="I71" s="14"/>
    </row>
    <row r="72" customFormat="false" ht="15" hidden="false" customHeight="true" outlineLevel="0" collapsed="false">
      <c r="A72" s="14"/>
      <c r="B72" s="14"/>
      <c r="C72" s="14"/>
      <c r="D72" s="14"/>
      <c r="E72" s="14"/>
      <c r="F72" s="18"/>
      <c r="G72" s="18"/>
      <c r="H72" s="18" t="n">
        <f aca="false">H71+F72-G72</f>
        <v>5690</v>
      </c>
      <c r="I72" s="14"/>
    </row>
    <row r="73" customFormat="false" ht="15" hidden="false" customHeight="true" outlineLevel="0" collapsed="false">
      <c r="A73" s="14"/>
      <c r="B73" s="14"/>
      <c r="C73" s="14"/>
      <c r="D73" s="14"/>
      <c r="E73" s="14"/>
      <c r="F73" s="18"/>
      <c r="G73" s="18"/>
      <c r="H73" s="18" t="n">
        <f aca="false">H72+F73-G73</f>
        <v>5690</v>
      </c>
      <c r="I73" s="14"/>
    </row>
    <row r="74" customFormat="false" ht="15" hidden="false" customHeight="true" outlineLevel="0" collapsed="false">
      <c r="A74" s="14"/>
      <c r="B74" s="14"/>
      <c r="C74" s="14"/>
      <c r="D74" s="14"/>
      <c r="E74" s="14"/>
      <c r="F74" s="18"/>
      <c r="G74" s="18"/>
      <c r="H74" s="18" t="n">
        <f aca="false">H73+F74-G74</f>
        <v>5690</v>
      </c>
      <c r="I74" s="14"/>
    </row>
    <row r="75" customFormat="false" ht="15" hidden="false" customHeight="true" outlineLevel="0" collapsed="false">
      <c r="A75" s="14"/>
      <c r="B75" s="14"/>
      <c r="C75" s="14"/>
      <c r="D75" s="14"/>
      <c r="E75" s="14"/>
      <c r="F75" s="18"/>
      <c r="G75" s="18"/>
      <c r="H75" s="18" t="n">
        <f aca="false">H74+F75-G75</f>
        <v>5690</v>
      </c>
      <c r="I75" s="14"/>
    </row>
    <row r="76" customFormat="false" ht="15" hidden="false" customHeight="true" outlineLevel="0" collapsed="false">
      <c r="A76" s="14"/>
      <c r="B76" s="14"/>
      <c r="C76" s="14"/>
      <c r="D76" s="14"/>
      <c r="E76" s="14"/>
      <c r="F76" s="18"/>
      <c r="G76" s="18"/>
      <c r="H76" s="18" t="n">
        <f aca="false">H75+F76-G76</f>
        <v>5690</v>
      </c>
      <c r="I76" s="14"/>
    </row>
    <row r="77" customFormat="false" ht="15" hidden="false" customHeight="true" outlineLevel="0" collapsed="false">
      <c r="A77" s="14"/>
      <c r="B77" s="14"/>
      <c r="C77" s="14"/>
      <c r="D77" s="14"/>
      <c r="E77" s="14"/>
      <c r="F77" s="18"/>
      <c r="G77" s="18"/>
      <c r="H77" s="18" t="n">
        <f aca="false">H76+F77-G77</f>
        <v>5690</v>
      </c>
      <c r="I77" s="14"/>
    </row>
    <row r="78" customFormat="false" ht="15" hidden="false" customHeight="true" outlineLevel="0" collapsed="false">
      <c r="A78" s="14"/>
      <c r="B78" s="14"/>
      <c r="C78" s="14"/>
      <c r="D78" s="14"/>
      <c r="E78" s="14"/>
      <c r="F78" s="18"/>
      <c r="G78" s="18"/>
      <c r="H78" s="18" t="n">
        <f aca="false">H77+F78-G78</f>
        <v>5690</v>
      </c>
      <c r="I78" s="14"/>
    </row>
    <row r="79" customFormat="false" ht="15" hidden="false" customHeight="true" outlineLevel="0" collapsed="false">
      <c r="A79" s="14"/>
      <c r="B79" s="14"/>
      <c r="C79" s="14"/>
      <c r="D79" s="14"/>
      <c r="E79" s="14"/>
      <c r="F79" s="18"/>
      <c r="G79" s="18"/>
      <c r="H79" s="18" t="n">
        <f aca="false">H78+F79-G79</f>
        <v>5690</v>
      </c>
      <c r="I79" s="14"/>
    </row>
    <row r="80" customFormat="false" ht="15" hidden="false" customHeight="true" outlineLevel="0" collapsed="false">
      <c r="A80" s="14"/>
      <c r="B80" s="14"/>
      <c r="C80" s="14"/>
      <c r="D80" s="14"/>
      <c r="E80" s="14"/>
      <c r="F80" s="18"/>
      <c r="G80" s="18"/>
      <c r="H80" s="18" t="n">
        <f aca="false">H79+F80-G80</f>
        <v>5690</v>
      </c>
      <c r="I80" s="14"/>
    </row>
    <row r="81" customFormat="false" ht="15" hidden="false" customHeight="true" outlineLevel="0" collapsed="false">
      <c r="A81" s="14"/>
      <c r="B81" s="14"/>
      <c r="C81" s="14"/>
      <c r="D81" s="14"/>
      <c r="E81" s="14"/>
      <c r="F81" s="18"/>
      <c r="G81" s="18"/>
      <c r="H81" s="18" t="n">
        <f aca="false">H80+F81-G81</f>
        <v>5690</v>
      </c>
      <c r="I81" s="14"/>
    </row>
    <row r="82" customFormat="false" ht="15" hidden="false" customHeight="true" outlineLevel="0" collapsed="false">
      <c r="A82" s="14"/>
      <c r="B82" s="14"/>
      <c r="C82" s="14"/>
      <c r="D82" s="14"/>
      <c r="E82" s="14"/>
      <c r="F82" s="18"/>
      <c r="G82" s="18"/>
      <c r="H82" s="18" t="n">
        <f aca="false">H81+F82-G82</f>
        <v>5690</v>
      </c>
      <c r="I82" s="14"/>
    </row>
    <row r="83" customFormat="false" ht="15" hidden="false" customHeight="true" outlineLevel="0" collapsed="false">
      <c r="A83" s="14"/>
      <c r="B83" s="14"/>
      <c r="C83" s="14"/>
      <c r="D83" s="14"/>
      <c r="E83" s="14"/>
      <c r="F83" s="18"/>
      <c r="G83" s="18"/>
      <c r="H83" s="18" t="n">
        <f aca="false">H82+F83-G83</f>
        <v>5690</v>
      </c>
      <c r="I83" s="14"/>
    </row>
    <row r="84" customFormat="false" ht="15" hidden="false" customHeight="true" outlineLevel="0" collapsed="false">
      <c r="A84" s="14"/>
      <c r="B84" s="14"/>
      <c r="C84" s="14"/>
      <c r="D84" s="14"/>
      <c r="E84" s="14"/>
      <c r="F84" s="18"/>
      <c r="G84" s="18"/>
      <c r="H84" s="18" t="n">
        <f aca="false">H83+F84-G84</f>
        <v>5690</v>
      </c>
      <c r="I84" s="14"/>
    </row>
    <row r="85" customFormat="false" ht="15" hidden="false" customHeight="true" outlineLevel="0" collapsed="false">
      <c r="A85" s="14"/>
      <c r="B85" s="14"/>
      <c r="C85" s="14"/>
      <c r="D85" s="14"/>
      <c r="E85" s="14"/>
      <c r="F85" s="18"/>
      <c r="G85" s="18"/>
      <c r="H85" s="18" t="n">
        <f aca="false">H84+F85-G85</f>
        <v>5690</v>
      </c>
      <c r="I85" s="14"/>
    </row>
    <row r="86" customFormat="false" ht="15" hidden="false" customHeight="true" outlineLevel="0" collapsed="false">
      <c r="A86" s="14"/>
      <c r="B86" s="14"/>
      <c r="C86" s="14"/>
      <c r="D86" s="14"/>
      <c r="E86" s="14"/>
      <c r="F86" s="18"/>
      <c r="G86" s="18"/>
      <c r="H86" s="18" t="n">
        <f aca="false">H85+F86-G86</f>
        <v>5690</v>
      </c>
      <c r="I86" s="14"/>
    </row>
    <row r="87" customFormat="false" ht="15" hidden="false" customHeight="true" outlineLevel="0" collapsed="false">
      <c r="A87" s="14"/>
      <c r="B87" s="14"/>
      <c r="C87" s="14"/>
      <c r="D87" s="14"/>
      <c r="E87" s="14"/>
      <c r="F87" s="18"/>
      <c r="G87" s="18"/>
      <c r="H87" s="18" t="n">
        <f aca="false">H86+F87-G87</f>
        <v>5690</v>
      </c>
      <c r="I87" s="14"/>
    </row>
    <row r="88" customFormat="false" ht="15" hidden="false" customHeight="true" outlineLevel="0" collapsed="false">
      <c r="A88" s="14"/>
      <c r="B88" s="14"/>
      <c r="C88" s="14"/>
      <c r="D88" s="14"/>
      <c r="E88" s="14"/>
      <c r="F88" s="18"/>
      <c r="G88" s="18"/>
      <c r="H88" s="18" t="n">
        <f aca="false">H87+F88-G88</f>
        <v>5690</v>
      </c>
      <c r="I88" s="14"/>
    </row>
    <row r="89" customFormat="false" ht="15" hidden="false" customHeight="true" outlineLevel="0" collapsed="false">
      <c r="A89" s="14"/>
      <c r="B89" s="14"/>
      <c r="C89" s="14"/>
      <c r="D89" s="14"/>
      <c r="E89" s="14"/>
      <c r="F89" s="18"/>
      <c r="G89" s="18"/>
      <c r="H89" s="18" t="n">
        <f aca="false">H88+F89-G89</f>
        <v>5690</v>
      </c>
      <c r="I89" s="14"/>
    </row>
    <row r="90" customFormat="false" ht="15" hidden="false" customHeight="true" outlineLevel="0" collapsed="false">
      <c r="A90" s="14"/>
      <c r="B90" s="14"/>
      <c r="C90" s="14"/>
      <c r="D90" s="14"/>
      <c r="E90" s="14"/>
      <c r="F90" s="18"/>
      <c r="G90" s="18"/>
      <c r="H90" s="18" t="n">
        <f aca="false">H89+F90-G90</f>
        <v>5690</v>
      </c>
      <c r="I90" s="14"/>
    </row>
    <row r="91" customFormat="false" ht="15" hidden="false" customHeight="true" outlineLevel="0" collapsed="false">
      <c r="A91" s="14"/>
      <c r="B91" s="14"/>
      <c r="C91" s="14"/>
      <c r="D91" s="14"/>
      <c r="E91" s="14"/>
      <c r="F91" s="18"/>
      <c r="G91" s="18"/>
      <c r="H91" s="18" t="n">
        <f aca="false">H90+F91-G91</f>
        <v>5690</v>
      </c>
      <c r="I91" s="14"/>
    </row>
    <row r="92" customFormat="false" ht="15" hidden="false" customHeight="true" outlineLevel="0" collapsed="false">
      <c r="A92" s="14"/>
      <c r="B92" s="14"/>
      <c r="C92" s="14"/>
      <c r="D92" s="14"/>
      <c r="E92" s="14"/>
      <c r="F92" s="18"/>
      <c r="G92" s="18"/>
      <c r="H92" s="18" t="n">
        <f aca="false">H91+F92-G92</f>
        <v>5690</v>
      </c>
      <c r="I92" s="14"/>
    </row>
    <row r="93" customFormat="false" ht="15" hidden="false" customHeight="true" outlineLevel="0" collapsed="false">
      <c r="A93" s="14"/>
      <c r="B93" s="14"/>
      <c r="C93" s="14"/>
      <c r="D93" s="14"/>
      <c r="E93" s="14"/>
      <c r="F93" s="18"/>
      <c r="G93" s="18"/>
      <c r="H93" s="18" t="n">
        <f aca="false">H92+F93-G93</f>
        <v>5690</v>
      </c>
      <c r="I93" s="14"/>
    </row>
    <row r="94" customFormat="false" ht="15" hidden="false" customHeight="true" outlineLevel="0" collapsed="false">
      <c r="A94" s="14"/>
      <c r="B94" s="14"/>
      <c r="C94" s="14"/>
      <c r="D94" s="14"/>
      <c r="E94" s="14"/>
      <c r="F94" s="18"/>
      <c r="G94" s="18"/>
      <c r="H94" s="18" t="n">
        <f aca="false">H93+F94-G94</f>
        <v>5690</v>
      </c>
      <c r="I94" s="14"/>
    </row>
    <row r="95" customFormat="false" ht="15" hidden="false" customHeight="true" outlineLevel="0" collapsed="false">
      <c r="A95" s="14"/>
      <c r="B95" s="14"/>
      <c r="C95" s="14"/>
      <c r="D95" s="14"/>
      <c r="E95" s="14"/>
      <c r="F95" s="18"/>
      <c r="G95" s="18"/>
      <c r="H95" s="18" t="n">
        <f aca="false">H94+F95-G95</f>
        <v>5690</v>
      </c>
      <c r="I95" s="14"/>
    </row>
    <row r="96" customFormat="false" ht="15" hidden="false" customHeight="true" outlineLevel="0" collapsed="false">
      <c r="A96" s="14"/>
      <c r="B96" s="14"/>
      <c r="C96" s="14"/>
      <c r="D96" s="14"/>
      <c r="E96" s="14"/>
      <c r="F96" s="18"/>
      <c r="G96" s="18"/>
      <c r="H96" s="18" t="n">
        <f aca="false">H95+F96-G96</f>
        <v>5690</v>
      </c>
      <c r="I96" s="14"/>
    </row>
    <row r="97" customFormat="false" ht="15" hidden="false" customHeight="true" outlineLevel="0" collapsed="false">
      <c r="A97" s="14"/>
      <c r="B97" s="14"/>
      <c r="C97" s="14"/>
      <c r="D97" s="14"/>
      <c r="E97" s="14"/>
      <c r="F97" s="18"/>
      <c r="G97" s="18"/>
      <c r="H97" s="18" t="n">
        <f aca="false">H96+F97-G97</f>
        <v>5690</v>
      </c>
      <c r="I97" s="14"/>
    </row>
    <row r="98" customFormat="false" ht="15" hidden="false" customHeight="true" outlineLevel="0" collapsed="false">
      <c r="A98" s="14"/>
      <c r="B98" s="14"/>
      <c r="C98" s="14"/>
      <c r="D98" s="14"/>
      <c r="E98" s="14"/>
      <c r="F98" s="18"/>
      <c r="G98" s="18"/>
      <c r="H98" s="18" t="n">
        <f aca="false">H97+F98-G98</f>
        <v>5690</v>
      </c>
      <c r="I98" s="14"/>
    </row>
    <row r="99" customFormat="false" ht="15" hidden="false" customHeight="true" outlineLevel="0" collapsed="false">
      <c r="A99" s="14"/>
      <c r="B99" s="14"/>
      <c r="C99" s="14"/>
      <c r="D99" s="14"/>
      <c r="E99" s="14"/>
      <c r="F99" s="18"/>
      <c r="G99" s="18"/>
      <c r="H99" s="18" t="n">
        <f aca="false">H98+F99-G99</f>
        <v>5690</v>
      </c>
      <c r="I99" s="14"/>
    </row>
    <row r="100" customFormat="false" ht="15" hidden="false" customHeight="true" outlineLevel="0" collapsed="false">
      <c r="A100" s="14"/>
      <c r="B100" s="14"/>
      <c r="C100" s="14"/>
      <c r="D100" s="14"/>
      <c r="E100" s="14"/>
      <c r="F100" s="18"/>
      <c r="G100" s="18"/>
      <c r="H100" s="18" t="n">
        <f aca="false">H99+F100-G100</f>
        <v>5690</v>
      </c>
      <c r="I100" s="14"/>
    </row>
    <row r="101" customFormat="false" ht="15" hidden="false" customHeight="true" outlineLevel="0" collapsed="false">
      <c r="A101" s="14"/>
      <c r="B101" s="14"/>
      <c r="C101" s="14"/>
      <c r="D101" s="14"/>
      <c r="E101" s="14"/>
      <c r="F101" s="18"/>
      <c r="G101" s="18"/>
      <c r="H101" s="18" t="n">
        <f aca="false">H100+F101-G101</f>
        <v>5690</v>
      </c>
      <c r="I101" s="14"/>
    </row>
    <row r="102" customFormat="false" ht="15" hidden="false" customHeight="true" outlineLevel="0" collapsed="false">
      <c r="A102" s="14"/>
      <c r="B102" s="14"/>
      <c r="C102" s="14"/>
      <c r="D102" s="14"/>
      <c r="E102" s="14"/>
      <c r="F102" s="18"/>
      <c r="G102" s="18"/>
      <c r="H102" s="18" t="n">
        <f aca="false">H101+F102-G102</f>
        <v>5690</v>
      </c>
      <c r="I102" s="14"/>
    </row>
    <row r="103" customFormat="false" ht="15" hidden="false" customHeight="true" outlineLevel="0" collapsed="false">
      <c r="A103" s="14"/>
      <c r="B103" s="14"/>
      <c r="C103" s="14"/>
      <c r="D103" s="14"/>
      <c r="E103" s="14"/>
      <c r="F103" s="18"/>
      <c r="G103" s="18"/>
      <c r="H103" s="18" t="n">
        <f aca="false">H102+F103-G103</f>
        <v>5690</v>
      </c>
      <c r="I103" s="14"/>
    </row>
    <row r="104" customFormat="false" ht="15" hidden="false" customHeight="true" outlineLevel="0" collapsed="false">
      <c r="A104" s="14"/>
      <c r="B104" s="14"/>
      <c r="C104" s="14"/>
      <c r="D104" s="14"/>
      <c r="E104" s="14"/>
      <c r="F104" s="18"/>
      <c r="G104" s="18"/>
      <c r="H104" s="18" t="n">
        <f aca="false">H103+F104-G104</f>
        <v>5690</v>
      </c>
      <c r="I104" s="14"/>
    </row>
    <row r="105" customFormat="false" ht="15" hidden="false" customHeight="true" outlineLevel="0" collapsed="false">
      <c r="A105" s="14"/>
      <c r="B105" s="14"/>
      <c r="C105" s="14"/>
      <c r="D105" s="14"/>
      <c r="E105" s="14"/>
      <c r="F105" s="18"/>
      <c r="G105" s="18"/>
      <c r="H105" s="18" t="n">
        <f aca="false">H104+F105-G105</f>
        <v>5690</v>
      </c>
      <c r="I105" s="14"/>
    </row>
    <row r="106" customFormat="false" ht="15" hidden="false" customHeight="true" outlineLevel="0" collapsed="false">
      <c r="A106" s="14"/>
      <c r="B106" s="14"/>
      <c r="C106" s="14"/>
      <c r="D106" s="14"/>
      <c r="E106" s="14"/>
      <c r="F106" s="18"/>
      <c r="G106" s="18"/>
      <c r="H106" s="18" t="n">
        <f aca="false">H105+F106-G106</f>
        <v>5690</v>
      </c>
      <c r="I106" s="14"/>
    </row>
    <row r="107" customFormat="false" ht="15" hidden="false" customHeight="true" outlineLevel="0" collapsed="false">
      <c r="A107" s="14"/>
      <c r="B107" s="14"/>
      <c r="C107" s="14"/>
      <c r="D107" s="14"/>
      <c r="E107" s="14"/>
      <c r="F107" s="18"/>
      <c r="G107" s="18"/>
      <c r="H107" s="18" t="n">
        <f aca="false">H106+F107-G107</f>
        <v>5690</v>
      </c>
      <c r="I107" s="14"/>
    </row>
    <row r="108" customFormat="false" ht="15" hidden="false" customHeight="true" outlineLevel="0" collapsed="false">
      <c r="A108" s="14"/>
      <c r="B108" s="14"/>
      <c r="C108" s="14"/>
      <c r="D108" s="14"/>
      <c r="E108" s="14"/>
      <c r="F108" s="18"/>
      <c r="G108" s="18"/>
      <c r="H108" s="18" t="n">
        <f aca="false">H107+F108-G108</f>
        <v>5690</v>
      </c>
      <c r="I108" s="14"/>
    </row>
    <row r="109" customFormat="false" ht="15" hidden="false" customHeight="true" outlineLevel="0" collapsed="false">
      <c r="A109" s="14"/>
      <c r="B109" s="14"/>
      <c r="C109" s="14"/>
      <c r="D109" s="14"/>
      <c r="E109" s="14"/>
      <c r="F109" s="18"/>
      <c r="G109" s="18"/>
      <c r="H109" s="18" t="n">
        <f aca="false">H108+F109-G109</f>
        <v>5690</v>
      </c>
      <c r="I109" s="14"/>
    </row>
    <row r="110" customFormat="false" ht="15" hidden="false" customHeight="true" outlineLevel="0" collapsed="false">
      <c r="A110" s="14"/>
      <c r="B110" s="14"/>
      <c r="C110" s="14"/>
      <c r="D110" s="14"/>
      <c r="E110" s="14"/>
      <c r="F110" s="18"/>
      <c r="G110" s="18"/>
      <c r="H110" s="18" t="n">
        <f aca="false">H109+F110-G110</f>
        <v>5690</v>
      </c>
      <c r="I110" s="14"/>
    </row>
    <row r="111" customFormat="false" ht="15" hidden="false" customHeight="true" outlineLevel="0" collapsed="false">
      <c r="A111" s="14"/>
      <c r="B111" s="14"/>
      <c r="C111" s="14"/>
      <c r="D111" s="14"/>
      <c r="E111" s="14"/>
      <c r="F111" s="18"/>
      <c r="G111" s="18"/>
      <c r="H111" s="18" t="n">
        <f aca="false">H110+F111-G111</f>
        <v>5690</v>
      </c>
      <c r="I111" s="14"/>
    </row>
    <row r="112" customFormat="false" ht="15" hidden="false" customHeight="true" outlineLevel="0" collapsed="false">
      <c r="A112" s="14"/>
      <c r="B112" s="14"/>
      <c r="C112" s="14"/>
      <c r="D112" s="14"/>
      <c r="E112" s="14"/>
      <c r="F112" s="18"/>
      <c r="G112" s="18"/>
      <c r="H112" s="18" t="n">
        <f aca="false">H111+F112-G112</f>
        <v>5690</v>
      </c>
      <c r="I112" s="14"/>
    </row>
    <row r="113" customFormat="false" ht="15" hidden="false" customHeight="true" outlineLevel="0" collapsed="false">
      <c r="A113" s="14"/>
      <c r="B113" s="14"/>
      <c r="C113" s="14"/>
      <c r="D113" s="14"/>
      <c r="E113" s="14"/>
      <c r="F113" s="18"/>
      <c r="G113" s="18"/>
      <c r="H113" s="18" t="n">
        <f aca="false">H112+F113-G113</f>
        <v>5690</v>
      </c>
      <c r="I113" s="14"/>
    </row>
    <row r="114" customFormat="false" ht="15" hidden="false" customHeight="true" outlineLevel="0" collapsed="false">
      <c r="A114" s="14"/>
      <c r="B114" s="14"/>
      <c r="C114" s="14"/>
      <c r="D114" s="14"/>
      <c r="E114" s="14"/>
      <c r="F114" s="18"/>
      <c r="G114" s="18"/>
      <c r="H114" s="18" t="n">
        <f aca="false">H113+F114-G114</f>
        <v>5690</v>
      </c>
      <c r="I114" s="14"/>
    </row>
    <row r="115" customFormat="false" ht="15" hidden="false" customHeight="true" outlineLevel="0" collapsed="false">
      <c r="A115" s="14"/>
      <c r="B115" s="14"/>
      <c r="C115" s="14"/>
      <c r="D115" s="14"/>
      <c r="E115" s="14"/>
      <c r="F115" s="18"/>
      <c r="G115" s="18"/>
      <c r="H115" s="18" t="n">
        <f aca="false">H114+F115-G115</f>
        <v>5690</v>
      </c>
      <c r="I115" s="14"/>
    </row>
    <row r="116" customFormat="false" ht="15" hidden="false" customHeight="true" outlineLevel="0" collapsed="false">
      <c r="A116" s="14"/>
      <c r="B116" s="14"/>
      <c r="C116" s="14"/>
      <c r="D116" s="14"/>
      <c r="E116" s="14"/>
      <c r="F116" s="18"/>
      <c r="G116" s="18"/>
      <c r="H116" s="18" t="n">
        <f aca="false">H115+F116-G116</f>
        <v>5690</v>
      </c>
      <c r="I116" s="14"/>
    </row>
    <row r="117" customFormat="false" ht="15" hidden="false" customHeight="true" outlineLevel="0" collapsed="false">
      <c r="A117" s="14"/>
      <c r="B117" s="14"/>
      <c r="C117" s="14"/>
      <c r="D117" s="14"/>
      <c r="E117" s="14"/>
      <c r="F117" s="18"/>
      <c r="G117" s="18"/>
      <c r="H117" s="18" t="n">
        <f aca="false">H116+F117-G117</f>
        <v>5690</v>
      </c>
      <c r="I117" s="14"/>
    </row>
    <row r="118" customFormat="false" ht="15" hidden="false" customHeight="true" outlineLevel="0" collapsed="false">
      <c r="A118" s="14"/>
      <c r="B118" s="14"/>
      <c r="C118" s="14"/>
      <c r="D118" s="14"/>
      <c r="E118" s="14"/>
      <c r="F118" s="18"/>
      <c r="G118" s="18"/>
      <c r="H118" s="18" t="n">
        <f aca="false">H117+F118-G118</f>
        <v>5690</v>
      </c>
      <c r="I118" s="14"/>
    </row>
    <row r="119" customFormat="false" ht="15" hidden="false" customHeight="true" outlineLevel="0" collapsed="false">
      <c r="A119" s="14"/>
      <c r="B119" s="14"/>
      <c r="C119" s="14"/>
      <c r="D119" s="14"/>
      <c r="E119" s="14"/>
      <c r="F119" s="18"/>
      <c r="G119" s="18"/>
      <c r="H119" s="18" t="n">
        <f aca="false">H118+F119-G119</f>
        <v>5690</v>
      </c>
      <c r="I119" s="14"/>
    </row>
    <row r="120" customFormat="false" ht="15" hidden="false" customHeight="true" outlineLevel="0" collapsed="false">
      <c r="A120" s="14"/>
      <c r="B120" s="14"/>
      <c r="C120" s="14"/>
      <c r="D120" s="14"/>
      <c r="E120" s="14"/>
      <c r="F120" s="18"/>
      <c r="G120" s="18"/>
      <c r="H120" s="18" t="n">
        <f aca="false">H119+F120-G120</f>
        <v>5690</v>
      </c>
      <c r="I120" s="14"/>
    </row>
    <row r="121" customFormat="false" ht="15" hidden="false" customHeight="true" outlineLevel="0" collapsed="false">
      <c r="A121" s="14"/>
      <c r="B121" s="14"/>
      <c r="C121" s="14"/>
      <c r="D121" s="14"/>
      <c r="E121" s="14"/>
      <c r="F121" s="18"/>
      <c r="G121" s="18"/>
      <c r="H121" s="18" t="n">
        <f aca="false">H120+F121-G121</f>
        <v>5690</v>
      </c>
      <c r="I121" s="14"/>
    </row>
    <row r="122" customFormat="false" ht="15" hidden="false" customHeight="true" outlineLevel="0" collapsed="false">
      <c r="A122" s="14"/>
      <c r="B122" s="14"/>
      <c r="C122" s="14"/>
      <c r="D122" s="14"/>
      <c r="E122" s="14"/>
      <c r="F122" s="18"/>
      <c r="G122" s="18"/>
      <c r="H122" s="18" t="n">
        <f aca="false">H121+F122-G122</f>
        <v>5690</v>
      </c>
      <c r="I122" s="14"/>
    </row>
    <row r="123" customFormat="false" ht="15" hidden="false" customHeight="true" outlineLevel="0" collapsed="false">
      <c r="A123" s="14"/>
      <c r="B123" s="14"/>
      <c r="C123" s="14"/>
      <c r="D123" s="14"/>
      <c r="E123" s="14"/>
      <c r="F123" s="18"/>
      <c r="G123" s="18"/>
      <c r="H123" s="18" t="n">
        <f aca="false">H122+F123-G123</f>
        <v>5690</v>
      </c>
      <c r="I123" s="14"/>
    </row>
    <row r="124" customFormat="false" ht="15" hidden="false" customHeight="true" outlineLevel="0" collapsed="false">
      <c r="A124" s="14"/>
      <c r="B124" s="14"/>
      <c r="C124" s="14"/>
      <c r="D124" s="14"/>
      <c r="E124" s="14"/>
      <c r="F124" s="18"/>
      <c r="G124" s="18"/>
      <c r="H124" s="18" t="n">
        <f aca="false">H123+F124-G124</f>
        <v>5690</v>
      </c>
      <c r="I124" s="14"/>
    </row>
    <row r="125" customFormat="false" ht="15" hidden="false" customHeight="true" outlineLevel="0" collapsed="false">
      <c r="A125" s="14"/>
      <c r="B125" s="14"/>
      <c r="C125" s="14"/>
      <c r="D125" s="14"/>
      <c r="E125" s="14"/>
      <c r="F125" s="18"/>
      <c r="G125" s="18"/>
      <c r="H125" s="18" t="n">
        <f aca="false">H124+F125-G125</f>
        <v>5690</v>
      </c>
      <c r="I125" s="14"/>
    </row>
    <row r="126" customFormat="false" ht="15" hidden="false" customHeight="true" outlineLevel="0" collapsed="false">
      <c r="A126" s="14"/>
      <c r="B126" s="14"/>
      <c r="C126" s="14"/>
      <c r="D126" s="14"/>
      <c r="E126" s="14"/>
      <c r="F126" s="18"/>
      <c r="G126" s="18"/>
      <c r="H126" s="18" t="n">
        <f aca="false">H125+F126-G126</f>
        <v>5690</v>
      </c>
      <c r="I126" s="14"/>
    </row>
    <row r="127" customFormat="false" ht="15" hidden="false" customHeight="true" outlineLevel="0" collapsed="false">
      <c r="A127" s="14"/>
      <c r="B127" s="14"/>
      <c r="C127" s="14"/>
      <c r="D127" s="14"/>
      <c r="E127" s="14"/>
      <c r="F127" s="18"/>
      <c r="G127" s="18"/>
      <c r="H127" s="18" t="n">
        <f aca="false">H126+F127-G127</f>
        <v>5690</v>
      </c>
      <c r="I127" s="14"/>
    </row>
    <row r="128" customFormat="false" ht="15" hidden="false" customHeight="true" outlineLevel="0" collapsed="false">
      <c r="A128" s="14"/>
      <c r="B128" s="14"/>
      <c r="C128" s="14"/>
      <c r="D128" s="14"/>
      <c r="E128" s="14"/>
      <c r="F128" s="18"/>
      <c r="G128" s="18"/>
      <c r="H128" s="18" t="n">
        <f aca="false">H127+F128-G128</f>
        <v>5690</v>
      </c>
      <c r="I128" s="14"/>
    </row>
    <row r="129" customFormat="false" ht="15" hidden="false" customHeight="true" outlineLevel="0" collapsed="false">
      <c r="A129" s="14"/>
      <c r="B129" s="14"/>
      <c r="C129" s="14"/>
      <c r="D129" s="14"/>
      <c r="E129" s="14"/>
      <c r="F129" s="18"/>
      <c r="G129" s="18"/>
      <c r="H129" s="18" t="n">
        <f aca="false">H128+F129-G129</f>
        <v>5690</v>
      </c>
      <c r="I129" s="14"/>
    </row>
    <row r="130" customFormat="false" ht="15" hidden="false" customHeight="true" outlineLevel="0" collapsed="false">
      <c r="A130" s="14"/>
      <c r="B130" s="14"/>
      <c r="C130" s="14"/>
      <c r="D130" s="14"/>
      <c r="E130" s="14"/>
      <c r="F130" s="18"/>
      <c r="G130" s="18"/>
      <c r="H130" s="18" t="n">
        <f aca="false">H129+F130-G130</f>
        <v>5690</v>
      </c>
      <c r="I130" s="14"/>
    </row>
    <row r="131" customFormat="false" ht="15" hidden="false" customHeight="true" outlineLevel="0" collapsed="false">
      <c r="A131" s="14"/>
      <c r="B131" s="14"/>
      <c r="C131" s="14"/>
      <c r="D131" s="14"/>
      <c r="E131" s="14"/>
      <c r="F131" s="18"/>
      <c r="G131" s="18"/>
      <c r="H131" s="18" t="n">
        <f aca="false">H130+F131-G131</f>
        <v>5690</v>
      </c>
      <c r="I131" s="14"/>
    </row>
    <row r="132" customFormat="false" ht="15" hidden="false" customHeight="true" outlineLevel="0" collapsed="false">
      <c r="A132" s="14"/>
      <c r="B132" s="14"/>
      <c r="C132" s="14"/>
      <c r="D132" s="14"/>
      <c r="E132" s="14"/>
      <c r="F132" s="18"/>
      <c r="G132" s="18"/>
      <c r="H132" s="18" t="n">
        <f aca="false">H131+F132-G132</f>
        <v>5690</v>
      </c>
      <c r="I132" s="14"/>
    </row>
    <row r="133" customFormat="false" ht="15" hidden="false" customHeight="true" outlineLevel="0" collapsed="false">
      <c r="A133" s="14"/>
      <c r="B133" s="14"/>
      <c r="C133" s="14"/>
      <c r="D133" s="14"/>
      <c r="E133" s="14"/>
      <c r="F133" s="18"/>
      <c r="G133" s="18"/>
      <c r="H133" s="18" t="n">
        <f aca="false">H132+F133-G133</f>
        <v>5690</v>
      </c>
      <c r="I133" s="14"/>
    </row>
    <row r="134" customFormat="false" ht="15" hidden="false" customHeight="true" outlineLevel="0" collapsed="false">
      <c r="A134" s="14"/>
      <c r="B134" s="14"/>
      <c r="C134" s="14"/>
      <c r="D134" s="14"/>
      <c r="E134" s="14"/>
      <c r="F134" s="18"/>
      <c r="G134" s="18"/>
      <c r="H134" s="18" t="n">
        <f aca="false">H133+F134-G134</f>
        <v>5690</v>
      </c>
      <c r="I134" s="14"/>
    </row>
    <row r="135" customFormat="false" ht="15" hidden="false" customHeight="true" outlineLevel="0" collapsed="false">
      <c r="A135" s="14"/>
      <c r="B135" s="14"/>
      <c r="C135" s="14"/>
      <c r="D135" s="14"/>
      <c r="E135" s="14"/>
      <c r="F135" s="18"/>
      <c r="G135" s="18"/>
      <c r="H135" s="18" t="n">
        <f aca="false">H134+F135-G135</f>
        <v>5690</v>
      </c>
      <c r="I135" s="14"/>
    </row>
    <row r="136" customFormat="false" ht="15" hidden="false" customHeight="true" outlineLevel="0" collapsed="false">
      <c r="A136" s="14"/>
      <c r="B136" s="14"/>
      <c r="C136" s="14"/>
      <c r="D136" s="14"/>
      <c r="E136" s="14"/>
      <c r="F136" s="18"/>
      <c r="G136" s="18"/>
      <c r="H136" s="18" t="n">
        <f aca="false">H135+F136-G136</f>
        <v>5690</v>
      </c>
      <c r="I136" s="14"/>
    </row>
    <row r="137" customFormat="false" ht="15" hidden="false" customHeight="true" outlineLevel="0" collapsed="false">
      <c r="A137" s="14"/>
      <c r="B137" s="14"/>
      <c r="C137" s="14"/>
      <c r="D137" s="14"/>
      <c r="E137" s="14"/>
      <c r="F137" s="18"/>
      <c r="G137" s="18"/>
      <c r="H137" s="18" t="n">
        <f aca="false">H136+F137-G137</f>
        <v>5690</v>
      </c>
      <c r="I137" s="14"/>
    </row>
    <row r="138" customFormat="false" ht="15" hidden="false" customHeight="true" outlineLevel="0" collapsed="false">
      <c r="A138" s="14"/>
      <c r="B138" s="14"/>
      <c r="C138" s="14"/>
      <c r="D138" s="14"/>
      <c r="E138" s="14"/>
      <c r="F138" s="18"/>
      <c r="G138" s="18"/>
      <c r="H138" s="18" t="n">
        <f aca="false">H137+F138-G138</f>
        <v>5690</v>
      </c>
      <c r="I138" s="14"/>
    </row>
    <row r="139" customFormat="false" ht="15" hidden="false" customHeight="true" outlineLevel="0" collapsed="false">
      <c r="A139" s="14"/>
      <c r="B139" s="14"/>
      <c r="C139" s="14"/>
      <c r="D139" s="14"/>
      <c r="E139" s="14"/>
      <c r="F139" s="18"/>
      <c r="G139" s="18"/>
      <c r="H139" s="18" t="n">
        <f aca="false">H138+F139-G139</f>
        <v>5690</v>
      </c>
      <c r="I139" s="14"/>
    </row>
    <row r="140" customFormat="false" ht="15" hidden="false" customHeight="true" outlineLevel="0" collapsed="false">
      <c r="A140" s="14"/>
      <c r="B140" s="14"/>
      <c r="C140" s="14"/>
      <c r="D140" s="14"/>
      <c r="E140" s="14"/>
      <c r="F140" s="18"/>
      <c r="G140" s="18"/>
      <c r="H140" s="18" t="n">
        <f aca="false">H139+F140-G140</f>
        <v>5690</v>
      </c>
      <c r="I140" s="14"/>
    </row>
    <row r="141" customFormat="false" ht="15" hidden="false" customHeight="true" outlineLevel="0" collapsed="false">
      <c r="A141" s="14"/>
      <c r="B141" s="14"/>
      <c r="C141" s="14"/>
      <c r="D141" s="14"/>
      <c r="E141" s="14"/>
      <c r="F141" s="18"/>
      <c r="G141" s="18"/>
      <c r="H141" s="18" t="n">
        <f aca="false">H140+F141-G141</f>
        <v>5690</v>
      </c>
      <c r="I141" s="14"/>
    </row>
    <row r="142" customFormat="false" ht="15" hidden="false" customHeight="true" outlineLevel="0" collapsed="false">
      <c r="A142" s="14"/>
      <c r="B142" s="14"/>
      <c r="C142" s="14"/>
      <c r="D142" s="14"/>
      <c r="E142" s="14"/>
      <c r="F142" s="18"/>
      <c r="G142" s="18"/>
      <c r="H142" s="18" t="n">
        <f aca="false">H141+F142-G142</f>
        <v>5690</v>
      </c>
      <c r="I142" s="14"/>
    </row>
    <row r="143" customFormat="false" ht="15" hidden="false" customHeight="true" outlineLevel="0" collapsed="false">
      <c r="A143" s="14"/>
      <c r="B143" s="14"/>
      <c r="C143" s="14"/>
      <c r="D143" s="14"/>
      <c r="E143" s="14"/>
      <c r="F143" s="18"/>
      <c r="G143" s="18"/>
      <c r="H143" s="18" t="n">
        <f aca="false">H142+F143-G143</f>
        <v>5690</v>
      </c>
      <c r="I143" s="14"/>
    </row>
    <row r="144" customFormat="false" ht="15" hidden="false" customHeight="true" outlineLevel="0" collapsed="false">
      <c r="A144" s="14"/>
      <c r="B144" s="14"/>
      <c r="C144" s="14"/>
      <c r="D144" s="14"/>
      <c r="E144" s="14"/>
      <c r="F144" s="18"/>
      <c r="G144" s="18"/>
      <c r="H144" s="18" t="n">
        <f aca="false">H143+F144-G144</f>
        <v>5690</v>
      </c>
      <c r="I144" s="14"/>
    </row>
    <row r="145" customFormat="false" ht="15" hidden="false" customHeight="true" outlineLevel="0" collapsed="false">
      <c r="A145" s="14"/>
      <c r="B145" s="14"/>
      <c r="C145" s="14"/>
      <c r="D145" s="14"/>
      <c r="E145" s="14"/>
      <c r="F145" s="18"/>
      <c r="G145" s="18"/>
      <c r="H145" s="18" t="n">
        <f aca="false">H144+F145-G145</f>
        <v>5690</v>
      </c>
      <c r="I145" s="14"/>
    </row>
    <row r="146" customFormat="false" ht="15" hidden="false" customHeight="true" outlineLevel="0" collapsed="false">
      <c r="A146" s="14"/>
      <c r="B146" s="14"/>
      <c r="C146" s="14"/>
      <c r="D146" s="14"/>
      <c r="E146" s="14"/>
      <c r="F146" s="18"/>
      <c r="G146" s="18"/>
      <c r="H146" s="18" t="n">
        <f aca="false">H145+F146-G146</f>
        <v>5690</v>
      </c>
      <c r="I146" s="14"/>
    </row>
    <row r="147" customFormat="false" ht="15" hidden="false" customHeight="true" outlineLevel="0" collapsed="false">
      <c r="A147" s="14"/>
      <c r="B147" s="14"/>
      <c r="C147" s="14"/>
      <c r="D147" s="14"/>
      <c r="E147" s="14"/>
      <c r="F147" s="18"/>
      <c r="G147" s="18"/>
      <c r="H147" s="18" t="n">
        <f aca="false">H146+F147-G147</f>
        <v>5690</v>
      </c>
      <c r="I147" s="14"/>
    </row>
    <row r="148" customFormat="false" ht="15" hidden="false" customHeight="true" outlineLevel="0" collapsed="false">
      <c r="A148" s="14"/>
      <c r="B148" s="14"/>
      <c r="C148" s="14"/>
      <c r="D148" s="14"/>
      <c r="E148" s="14"/>
      <c r="F148" s="18"/>
      <c r="G148" s="18"/>
      <c r="H148" s="18" t="n">
        <f aca="false">H147+F148-G148</f>
        <v>5690</v>
      </c>
      <c r="I148" s="14"/>
    </row>
    <row r="149" customFormat="false" ht="15" hidden="false" customHeight="true" outlineLevel="0" collapsed="false">
      <c r="A149" s="14"/>
      <c r="B149" s="14"/>
      <c r="C149" s="14"/>
      <c r="D149" s="14"/>
      <c r="E149" s="14"/>
      <c r="F149" s="18"/>
      <c r="G149" s="18"/>
      <c r="H149" s="18" t="n">
        <f aca="false">H148+F149-G149</f>
        <v>5690</v>
      </c>
      <c r="I149" s="14"/>
    </row>
    <row r="150" customFormat="false" ht="15" hidden="false" customHeight="true" outlineLevel="0" collapsed="false">
      <c r="A150" s="14"/>
      <c r="B150" s="14"/>
      <c r="C150" s="14"/>
      <c r="D150" s="14"/>
      <c r="E150" s="14"/>
      <c r="F150" s="18"/>
      <c r="G150" s="18"/>
      <c r="H150" s="18" t="n">
        <f aca="false">H149+F150-G150</f>
        <v>5690</v>
      </c>
      <c r="I150" s="14"/>
    </row>
    <row r="151" customFormat="false" ht="15" hidden="false" customHeight="true" outlineLevel="0" collapsed="false">
      <c r="A151" s="14"/>
      <c r="B151" s="14"/>
      <c r="C151" s="14"/>
      <c r="D151" s="14"/>
      <c r="E151" s="14"/>
      <c r="F151" s="18"/>
      <c r="G151" s="18"/>
      <c r="H151" s="18" t="n">
        <f aca="false">H150+F151-G151</f>
        <v>5690</v>
      </c>
      <c r="I151" s="14"/>
    </row>
    <row r="152" customFormat="false" ht="15" hidden="false" customHeight="true" outlineLevel="0" collapsed="false">
      <c r="A152" s="14"/>
      <c r="B152" s="14"/>
      <c r="C152" s="14"/>
      <c r="D152" s="14"/>
      <c r="E152" s="14"/>
      <c r="F152" s="18"/>
      <c r="G152" s="18"/>
      <c r="H152" s="18" t="n">
        <f aca="false">H151+F152-G152</f>
        <v>5690</v>
      </c>
      <c r="I152" s="14"/>
    </row>
    <row r="153" customFormat="false" ht="15" hidden="false" customHeight="true" outlineLevel="0" collapsed="false">
      <c r="A153" s="14"/>
      <c r="B153" s="14"/>
      <c r="C153" s="14"/>
      <c r="D153" s="14"/>
      <c r="E153" s="14"/>
      <c r="F153" s="18"/>
      <c r="G153" s="18"/>
      <c r="H153" s="18" t="n">
        <f aca="false">H152+F153-G153</f>
        <v>5690</v>
      </c>
      <c r="I153" s="14"/>
    </row>
    <row r="154" customFormat="false" ht="15" hidden="false" customHeight="true" outlineLevel="0" collapsed="false">
      <c r="A154" s="14"/>
      <c r="B154" s="14"/>
      <c r="C154" s="14"/>
      <c r="D154" s="14"/>
      <c r="E154" s="14"/>
      <c r="F154" s="18"/>
      <c r="G154" s="18"/>
      <c r="H154" s="18" t="n">
        <f aca="false">H153+F154-G154</f>
        <v>5690</v>
      </c>
      <c r="I154" s="14"/>
    </row>
    <row r="155" customFormat="false" ht="15" hidden="false" customHeight="true" outlineLevel="0" collapsed="false">
      <c r="A155" s="14"/>
      <c r="B155" s="14"/>
      <c r="C155" s="14"/>
      <c r="D155" s="14"/>
      <c r="E155" s="14"/>
      <c r="F155" s="18"/>
      <c r="G155" s="18"/>
      <c r="H155" s="18" t="n">
        <f aca="false">H154+F155-G155</f>
        <v>5690</v>
      </c>
      <c r="I155" s="14"/>
    </row>
    <row r="156" customFormat="false" ht="15" hidden="false" customHeight="true" outlineLevel="0" collapsed="false">
      <c r="A156" s="14"/>
      <c r="B156" s="14"/>
      <c r="C156" s="14"/>
      <c r="D156" s="14"/>
      <c r="E156" s="14"/>
      <c r="F156" s="18"/>
      <c r="G156" s="18"/>
      <c r="H156" s="18" t="n">
        <f aca="false">H155+F156-G156</f>
        <v>5690</v>
      </c>
      <c r="I156" s="14"/>
    </row>
    <row r="157" customFormat="false" ht="15" hidden="false" customHeight="true" outlineLevel="0" collapsed="false">
      <c r="A157" s="14"/>
      <c r="B157" s="14"/>
      <c r="C157" s="14"/>
      <c r="D157" s="14"/>
      <c r="E157" s="14"/>
      <c r="F157" s="18"/>
      <c r="G157" s="18"/>
      <c r="H157" s="18" t="n">
        <f aca="false">H156+F157-G157</f>
        <v>5690</v>
      </c>
      <c r="I157" s="14"/>
    </row>
    <row r="158" customFormat="false" ht="15" hidden="false" customHeight="true" outlineLevel="0" collapsed="false">
      <c r="A158" s="14"/>
      <c r="B158" s="14"/>
      <c r="C158" s="14"/>
      <c r="D158" s="14"/>
      <c r="E158" s="14"/>
      <c r="F158" s="18"/>
      <c r="G158" s="18"/>
      <c r="H158" s="18" t="n">
        <f aca="false">H157+F158-G158</f>
        <v>5690</v>
      </c>
      <c r="I158" s="14"/>
    </row>
    <row r="159" customFormat="false" ht="15" hidden="false" customHeight="true" outlineLevel="0" collapsed="false">
      <c r="A159" s="14"/>
      <c r="B159" s="14"/>
      <c r="C159" s="14"/>
      <c r="D159" s="14"/>
      <c r="E159" s="14"/>
      <c r="F159" s="18"/>
      <c r="G159" s="18"/>
      <c r="H159" s="18" t="n">
        <f aca="false">H158+F159-G159</f>
        <v>5690</v>
      </c>
      <c r="I159" s="14"/>
    </row>
    <row r="160" customFormat="false" ht="15" hidden="false" customHeight="true" outlineLevel="0" collapsed="false">
      <c r="A160" s="14"/>
      <c r="B160" s="14"/>
      <c r="C160" s="14"/>
      <c r="D160" s="14"/>
      <c r="E160" s="14"/>
      <c r="F160" s="18"/>
      <c r="G160" s="18"/>
      <c r="H160" s="18" t="n">
        <f aca="false">H159+F160-G160</f>
        <v>5690</v>
      </c>
      <c r="I160" s="14"/>
    </row>
    <row r="161" customFormat="false" ht="15" hidden="false" customHeight="true" outlineLevel="0" collapsed="false">
      <c r="A161" s="14"/>
      <c r="B161" s="14"/>
      <c r="C161" s="14"/>
      <c r="D161" s="14"/>
      <c r="E161" s="14"/>
      <c r="F161" s="18"/>
      <c r="G161" s="18"/>
      <c r="H161" s="18" t="n">
        <f aca="false">H160+F161-G161</f>
        <v>5690</v>
      </c>
      <c r="I161" s="14"/>
    </row>
    <row r="162" customFormat="false" ht="15" hidden="false" customHeight="true" outlineLevel="0" collapsed="false">
      <c r="A162" s="14"/>
      <c r="B162" s="14"/>
      <c r="C162" s="14"/>
      <c r="D162" s="14"/>
      <c r="E162" s="14"/>
      <c r="F162" s="18"/>
      <c r="G162" s="18"/>
      <c r="H162" s="18" t="n">
        <f aca="false">H161+F162-G162</f>
        <v>5690</v>
      </c>
      <c r="I162" s="14"/>
    </row>
    <row r="163" customFormat="false" ht="15" hidden="false" customHeight="true" outlineLevel="0" collapsed="false">
      <c r="A163" s="14"/>
      <c r="B163" s="14"/>
      <c r="C163" s="14"/>
      <c r="D163" s="14"/>
      <c r="E163" s="14"/>
      <c r="F163" s="18"/>
      <c r="G163" s="18"/>
      <c r="H163" s="18" t="n">
        <f aca="false">H162+F163-G163</f>
        <v>5690</v>
      </c>
      <c r="I163" s="14"/>
    </row>
    <row r="164" customFormat="false" ht="15" hidden="false" customHeight="true" outlineLevel="0" collapsed="false">
      <c r="A164" s="14"/>
      <c r="B164" s="14"/>
      <c r="C164" s="14"/>
      <c r="D164" s="14"/>
      <c r="E164" s="14"/>
      <c r="F164" s="18"/>
      <c r="G164" s="18"/>
      <c r="H164" s="18" t="n">
        <f aca="false">H163+F164-G164</f>
        <v>5690</v>
      </c>
      <c r="I164" s="14"/>
    </row>
    <row r="165" customFormat="false" ht="15" hidden="false" customHeight="true" outlineLevel="0" collapsed="false">
      <c r="A165" s="14"/>
      <c r="B165" s="14"/>
      <c r="C165" s="14"/>
      <c r="D165" s="14"/>
      <c r="E165" s="14"/>
      <c r="F165" s="18"/>
      <c r="G165" s="18"/>
      <c r="H165" s="18" t="n">
        <f aca="false">H164+F165-G165</f>
        <v>5690</v>
      </c>
      <c r="I165" s="14"/>
    </row>
    <row r="166" customFormat="false" ht="15" hidden="false" customHeight="true" outlineLevel="0" collapsed="false">
      <c r="A166" s="14"/>
      <c r="B166" s="14"/>
      <c r="C166" s="14"/>
      <c r="D166" s="14"/>
      <c r="E166" s="14"/>
      <c r="F166" s="18"/>
      <c r="G166" s="18"/>
      <c r="H166" s="18" t="n">
        <f aca="false">H165+F166-G166</f>
        <v>5690</v>
      </c>
      <c r="I166" s="14"/>
    </row>
    <row r="167" customFormat="false" ht="15" hidden="false" customHeight="true" outlineLevel="0" collapsed="false">
      <c r="A167" s="14"/>
      <c r="B167" s="14"/>
      <c r="C167" s="14"/>
      <c r="D167" s="14"/>
      <c r="E167" s="14"/>
      <c r="F167" s="18"/>
      <c r="G167" s="18"/>
      <c r="H167" s="18" t="n">
        <f aca="false">H166+F167-G167</f>
        <v>5690</v>
      </c>
      <c r="I167" s="14"/>
    </row>
    <row r="168" customFormat="false" ht="15" hidden="false" customHeight="true" outlineLevel="0" collapsed="false">
      <c r="A168" s="14"/>
      <c r="B168" s="14"/>
      <c r="C168" s="14"/>
      <c r="D168" s="14"/>
      <c r="E168" s="14"/>
      <c r="F168" s="18"/>
      <c r="G168" s="18"/>
      <c r="H168" s="18" t="n">
        <f aca="false">H167+F168-G168</f>
        <v>5690</v>
      </c>
      <c r="I168" s="14"/>
    </row>
    <row r="169" customFormat="false" ht="15" hidden="false" customHeight="true" outlineLevel="0" collapsed="false">
      <c r="A169" s="14"/>
      <c r="B169" s="14"/>
      <c r="C169" s="14"/>
      <c r="D169" s="14"/>
      <c r="E169" s="14"/>
      <c r="F169" s="18"/>
      <c r="G169" s="18"/>
      <c r="H169" s="18" t="n">
        <f aca="false">H168+F169-G169</f>
        <v>5690</v>
      </c>
      <c r="I169" s="14"/>
    </row>
    <row r="170" customFormat="false" ht="15" hidden="false" customHeight="true" outlineLevel="0" collapsed="false">
      <c r="A170" s="14"/>
      <c r="B170" s="14"/>
      <c r="C170" s="14"/>
      <c r="D170" s="14"/>
      <c r="E170" s="14"/>
      <c r="F170" s="18"/>
      <c r="G170" s="18"/>
      <c r="H170" s="18" t="n">
        <f aca="false">H169+F170-G170</f>
        <v>5690</v>
      </c>
      <c r="I170" s="14"/>
    </row>
    <row r="171" customFormat="false" ht="15" hidden="false" customHeight="true" outlineLevel="0" collapsed="false">
      <c r="A171" s="14"/>
      <c r="B171" s="14"/>
      <c r="C171" s="14"/>
      <c r="D171" s="14"/>
      <c r="E171" s="14"/>
      <c r="F171" s="18"/>
      <c r="G171" s="18"/>
      <c r="H171" s="18" t="n">
        <f aca="false">H170+F171-G171</f>
        <v>5690</v>
      </c>
      <c r="I171" s="14"/>
    </row>
    <row r="172" customFormat="false" ht="15" hidden="false" customHeight="true" outlineLevel="0" collapsed="false">
      <c r="A172" s="14"/>
      <c r="B172" s="14"/>
      <c r="C172" s="14"/>
      <c r="D172" s="14"/>
      <c r="E172" s="14"/>
      <c r="F172" s="18"/>
      <c r="G172" s="18"/>
      <c r="H172" s="18" t="n">
        <f aca="false">H171+F172-G172</f>
        <v>5690</v>
      </c>
      <c r="I172" s="14"/>
    </row>
    <row r="173" customFormat="false" ht="15" hidden="false" customHeight="true" outlineLevel="0" collapsed="false">
      <c r="A173" s="14"/>
      <c r="B173" s="14"/>
      <c r="C173" s="14"/>
      <c r="D173" s="14"/>
      <c r="E173" s="14"/>
      <c r="F173" s="18"/>
      <c r="G173" s="18"/>
      <c r="H173" s="18" t="n">
        <f aca="false">H172+F173-G173</f>
        <v>5690</v>
      </c>
      <c r="I173" s="14"/>
    </row>
    <row r="174" customFormat="false" ht="15" hidden="false" customHeight="true" outlineLevel="0" collapsed="false">
      <c r="A174" s="14"/>
      <c r="B174" s="14"/>
      <c r="C174" s="14"/>
      <c r="D174" s="14"/>
      <c r="E174" s="14"/>
      <c r="F174" s="18"/>
      <c r="G174" s="18"/>
      <c r="H174" s="18" t="n">
        <f aca="false">H173+F174-G174</f>
        <v>5690</v>
      </c>
      <c r="I174" s="14"/>
    </row>
    <row r="175" customFormat="false" ht="15" hidden="false" customHeight="true" outlineLevel="0" collapsed="false">
      <c r="A175" s="14"/>
      <c r="B175" s="14"/>
      <c r="C175" s="14"/>
      <c r="D175" s="14"/>
      <c r="E175" s="14"/>
      <c r="F175" s="18"/>
      <c r="G175" s="18"/>
      <c r="H175" s="18" t="n">
        <f aca="false">H174+F175-G175</f>
        <v>5690</v>
      </c>
      <c r="I175" s="14"/>
    </row>
    <row r="176" customFormat="false" ht="15" hidden="false" customHeight="true" outlineLevel="0" collapsed="false">
      <c r="A176" s="14"/>
      <c r="B176" s="14"/>
      <c r="C176" s="14"/>
      <c r="D176" s="14"/>
      <c r="E176" s="14"/>
      <c r="F176" s="18"/>
      <c r="G176" s="18"/>
      <c r="H176" s="18" t="n">
        <f aca="false">H175+F176-G176</f>
        <v>5690</v>
      </c>
      <c r="I176" s="14"/>
    </row>
    <row r="177" customFormat="false" ht="15" hidden="false" customHeight="true" outlineLevel="0" collapsed="false">
      <c r="A177" s="14"/>
      <c r="B177" s="14"/>
      <c r="C177" s="14"/>
      <c r="D177" s="14"/>
      <c r="E177" s="14"/>
      <c r="F177" s="18"/>
      <c r="G177" s="18"/>
      <c r="H177" s="18" t="n">
        <f aca="false">H176+F177-G177</f>
        <v>5690</v>
      </c>
      <c r="I177" s="14"/>
    </row>
    <row r="178" customFormat="false" ht="15" hidden="false" customHeight="true" outlineLevel="0" collapsed="false">
      <c r="A178" s="14"/>
      <c r="B178" s="14"/>
      <c r="C178" s="14"/>
      <c r="D178" s="14"/>
      <c r="E178" s="14"/>
      <c r="F178" s="18"/>
      <c r="G178" s="18"/>
      <c r="H178" s="18" t="n">
        <f aca="false">H177+F178-G178</f>
        <v>5690</v>
      </c>
      <c r="I178" s="14"/>
    </row>
    <row r="179" customFormat="false" ht="15" hidden="false" customHeight="true" outlineLevel="0" collapsed="false">
      <c r="A179" s="14"/>
      <c r="B179" s="14"/>
      <c r="C179" s="14"/>
      <c r="D179" s="14"/>
      <c r="E179" s="14"/>
      <c r="F179" s="18"/>
      <c r="G179" s="18"/>
      <c r="H179" s="18" t="n">
        <f aca="false">H178+F179-G179</f>
        <v>5690</v>
      </c>
      <c r="I179" s="14"/>
    </row>
    <row r="180" customFormat="false" ht="15" hidden="false" customHeight="true" outlineLevel="0" collapsed="false">
      <c r="A180" s="14"/>
      <c r="B180" s="14"/>
      <c r="C180" s="14"/>
      <c r="D180" s="14"/>
      <c r="E180" s="14"/>
      <c r="F180" s="18"/>
      <c r="G180" s="18"/>
      <c r="H180" s="18" t="n">
        <f aca="false">H179+F180-G180</f>
        <v>5690</v>
      </c>
      <c r="I180" s="14"/>
    </row>
    <row r="181" customFormat="false" ht="15" hidden="false" customHeight="true" outlineLevel="0" collapsed="false">
      <c r="A181" s="14"/>
      <c r="B181" s="14"/>
      <c r="C181" s="14"/>
      <c r="D181" s="14"/>
      <c r="E181" s="14"/>
      <c r="F181" s="18"/>
      <c r="G181" s="18"/>
      <c r="H181" s="18" t="n">
        <f aca="false">H180+F181-G181</f>
        <v>5690</v>
      </c>
      <c r="I181" s="14"/>
    </row>
    <row r="182" customFormat="false" ht="15" hidden="false" customHeight="true" outlineLevel="0" collapsed="false">
      <c r="A182" s="14"/>
      <c r="B182" s="14"/>
      <c r="C182" s="14"/>
      <c r="D182" s="14"/>
      <c r="E182" s="14"/>
      <c r="F182" s="18"/>
      <c r="G182" s="18"/>
      <c r="H182" s="18" t="n">
        <f aca="false">H181+F182-G182</f>
        <v>5690</v>
      </c>
      <c r="I182" s="14"/>
    </row>
    <row r="183" customFormat="false" ht="15" hidden="false" customHeight="true" outlineLevel="0" collapsed="false">
      <c r="A183" s="14"/>
      <c r="B183" s="14"/>
      <c r="C183" s="14"/>
      <c r="D183" s="14"/>
      <c r="E183" s="14"/>
      <c r="F183" s="18"/>
      <c r="G183" s="18"/>
      <c r="H183" s="18" t="n">
        <f aca="false">H182+F183-G183</f>
        <v>5690</v>
      </c>
      <c r="I183" s="14"/>
    </row>
    <row r="184" customFormat="false" ht="15" hidden="false" customHeight="true" outlineLevel="0" collapsed="false">
      <c r="A184" s="14"/>
      <c r="B184" s="14"/>
      <c r="C184" s="14"/>
      <c r="D184" s="14"/>
      <c r="E184" s="14"/>
      <c r="F184" s="18"/>
      <c r="G184" s="18"/>
      <c r="H184" s="18" t="n">
        <f aca="false">H183+F184-G184</f>
        <v>5690</v>
      </c>
      <c r="I184" s="14"/>
    </row>
    <row r="185" customFormat="false" ht="15" hidden="false" customHeight="true" outlineLevel="0" collapsed="false">
      <c r="A185" s="14"/>
      <c r="B185" s="14"/>
      <c r="C185" s="14"/>
      <c r="D185" s="14"/>
      <c r="E185" s="14"/>
      <c r="F185" s="18"/>
      <c r="G185" s="18"/>
      <c r="H185" s="18" t="n">
        <f aca="false">H184+F185-G185</f>
        <v>5690</v>
      </c>
      <c r="I185" s="14"/>
    </row>
    <row r="186" customFormat="false" ht="15" hidden="false" customHeight="true" outlineLevel="0" collapsed="false">
      <c r="A186" s="14"/>
      <c r="B186" s="14"/>
      <c r="C186" s="14"/>
      <c r="D186" s="14"/>
      <c r="E186" s="14"/>
      <c r="F186" s="18"/>
      <c r="G186" s="18"/>
      <c r="H186" s="18" t="n">
        <f aca="false">H185+F186-G186</f>
        <v>5690</v>
      </c>
      <c r="I186" s="14"/>
    </row>
    <row r="187" customFormat="false" ht="15" hidden="false" customHeight="true" outlineLevel="0" collapsed="false">
      <c r="A187" s="14"/>
      <c r="B187" s="14"/>
      <c r="C187" s="14"/>
      <c r="D187" s="14"/>
      <c r="E187" s="14"/>
      <c r="F187" s="18"/>
      <c r="G187" s="18"/>
      <c r="H187" s="18" t="n">
        <f aca="false">H186+F187-G187</f>
        <v>5690</v>
      </c>
      <c r="I187" s="14"/>
    </row>
    <row r="188" customFormat="false" ht="15" hidden="false" customHeight="true" outlineLevel="0" collapsed="false">
      <c r="A188" s="14"/>
      <c r="B188" s="14"/>
      <c r="C188" s="14"/>
      <c r="D188" s="14"/>
      <c r="E188" s="14"/>
      <c r="F188" s="18"/>
      <c r="G188" s="18"/>
      <c r="H188" s="18" t="n">
        <f aca="false">H187+F188-G188</f>
        <v>5690</v>
      </c>
      <c r="I188" s="14"/>
    </row>
    <row r="189" customFormat="false" ht="15" hidden="false" customHeight="true" outlineLevel="0" collapsed="false">
      <c r="A189" s="14"/>
      <c r="B189" s="14"/>
      <c r="C189" s="14"/>
      <c r="D189" s="14"/>
      <c r="E189" s="14"/>
      <c r="F189" s="18"/>
      <c r="G189" s="18"/>
      <c r="H189" s="18" t="n">
        <f aca="false">H188+F189-G189</f>
        <v>5690</v>
      </c>
      <c r="I189" s="14"/>
    </row>
    <row r="190" customFormat="false" ht="15" hidden="false" customHeight="true" outlineLevel="0" collapsed="false">
      <c r="A190" s="14"/>
      <c r="B190" s="14"/>
      <c r="C190" s="14"/>
      <c r="D190" s="14"/>
      <c r="E190" s="14"/>
      <c r="F190" s="18"/>
      <c r="G190" s="18"/>
      <c r="H190" s="18" t="n">
        <f aca="false">H189+F190-G190</f>
        <v>5690</v>
      </c>
      <c r="I190" s="14"/>
    </row>
    <row r="191" customFormat="false" ht="15" hidden="false" customHeight="true" outlineLevel="0" collapsed="false">
      <c r="A191" s="14"/>
      <c r="B191" s="14"/>
      <c r="C191" s="14"/>
      <c r="D191" s="14"/>
      <c r="E191" s="14"/>
      <c r="F191" s="18"/>
      <c r="G191" s="18"/>
      <c r="H191" s="18" t="n">
        <f aca="false">H190+F191-G191</f>
        <v>5690</v>
      </c>
      <c r="I191" s="14"/>
    </row>
    <row r="192" customFormat="false" ht="15" hidden="false" customHeight="true" outlineLevel="0" collapsed="false">
      <c r="A192" s="14"/>
      <c r="B192" s="14"/>
      <c r="C192" s="14"/>
      <c r="D192" s="14"/>
      <c r="E192" s="14"/>
      <c r="F192" s="18"/>
      <c r="G192" s="18"/>
      <c r="H192" s="18" t="n">
        <f aca="false">H191+F192-G192</f>
        <v>5690</v>
      </c>
      <c r="I192" s="14"/>
    </row>
    <row r="193" customFormat="false" ht="15" hidden="false" customHeight="true" outlineLevel="0" collapsed="false">
      <c r="A193" s="14"/>
      <c r="B193" s="14"/>
      <c r="C193" s="14"/>
      <c r="D193" s="14"/>
      <c r="E193" s="14"/>
      <c r="F193" s="18"/>
      <c r="G193" s="18"/>
      <c r="H193" s="18" t="n">
        <f aca="false">H192+F193-G193</f>
        <v>5690</v>
      </c>
      <c r="I193" s="14"/>
    </row>
    <row r="194" customFormat="false" ht="15" hidden="false" customHeight="true" outlineLevel="0" collapsed="false">
      <c r="A194" s="14"/>
      <c r="B194" s="14"/>
      <c r="C194" s="14"/>
      <c r="D194" s="14"/>
      <c r="E194" s="14"/>
      <c r="F194" s="18"/>
      <c r="G194" s="18"/>
      <c r="H194" s="18" t="n">
        <f aca="false">H193+F194-G194</f>
        <v>5690</v>
      </c>
      <c r="I194" s="14"/>
    </row>
    <row r="195" customFormat="false" ht="15" hidden="false" customHeight="true" outlineLevel="0" collapsed="false">
      <c r="A195" s="14"/>
      <c r="B195" s="14"/>
      <c r="C195" s="14"/>
      <c r="D195" s="14"/>
      <c r="E195" s="14"/>
      <c r="F195" s="18"/>
      <c r="G195" s="18"/>
      <c r="H195" s="18" t="n">
        <f aca="false">H194+F195-G195</f>
        <v>5690</v>
      </c>
      <c r="I195" s="14"/>
    </row>
    <row r="196" customFormat="false" ht="15" hidden="false" customHeight="true" outlineLevel="0" collapsed="false">
      <c r="A196" s="14"/>
      <c r="B196" s="14"/>
      <c r="C196" s="14"/>
      <c r="D196" s="14"/>
      <c r="E196" s="14"/>
      <c r="F196" s="18"/>
      <c r="G196" s="18"/>
      <c r="H196" s="18" t="n">
        <f aca="false">H195+F196-G196</f>
        <v>5690</v>
      </c>
      <c r="I196" s="14"/>
    </row>
    <row r="197" customFormat="false" ht="15" hidden="false" customHeight="true" outlineLevel="0" collapsed="false">
      <c r="A197" s="14"/>
      <c r="B197" s="14"/>
      <c r="C197" s="14"/>
      <c r="D197" s="14"/>
      <c r="E197" s="14"/>
      <c r="F197" s="18"/>
      <c r="G197" s="18"/>
      <c r="H197" s="18" t="n">
        <f aca="false">H196+F197-G197</f>
        <v>5690</v>
      </c>
      <c r="I197" s="14"/>
    </row>
    <row r="198" customFormat="false" ht="15" hidden="false" customHeight="true" outlineLevel="0" collapsed="false">
      <c r="A198" s="14"/>
      <c r="B198" s="14"/>
      <c r="C198" s="14"/>
      <c r="D198" s="14"/>
      <c r="E198" s="14"/>
      <c r="F198" s="18"/>
      <c r="G198" s="18"/>
      <c r="H198" s="18" t="n">
        <f aca="false">H197+F198-G198</f>
        <v>5690</v>
      </c>
      <c r="I198" s="14"/>
    </row>
    <row r="199" customFormat="false" ht="15" hidden="false" customHeight="true" outlineLevel="0" collapsed="false">
      <c r="A199" s="14"/>
      <c r="B199" s="14"/>
      <c r="C199" s="14"/>
      <c r="D199" s="14"/>
      <c r="E199" s="14"/>
      <c r="F199" s="18"/>
      <c r="G199" s="18"/>
      <c r="H199" s="18" t="n">
        <f aca="false">H198+F199-G199</f>
        <v>5690</v>
      </c>
      <c r="I199" s="14"/>
    </row>
    <row r="200" customFormat="false" ht="15" hidden="false" customHeight="true" outlineLevel="0" collapsed="false">
      <c r="A200" s="14"/>
      <c r="B200" s="14"/>
      <c r="C200" s="14"/>
      <c r="D200" s="14"/>
      <c r="E200" s="14"/>
      <c r="F200" s="18"/>
      <c r="G200" s="18"/>
      <c r="H200" s="18" t="n">
        <f aca="false">H199+F200-G200</f>
        <v>5690</v>
      </c>
      <c r="I200" s="14"/>
    </row>
    <row r="201" customFormat="false" ht="15" hidden="false" customHeight="true" outlineLevel="0" collapsed="false">
      <c r="A201" s="14"/>
      <c r="B201" s="14"/>
      <c r="C201" s="14"/>
      <c r="D201" s="14"/>
      <c r="E201" s="14"/>
      <c r="F201" s="18"/>
      <c r="G201" s="18"/>
      <c r="H201" s="18" t="n">
        <f aca="false">H200+F201-G201</f>
        <v>5690</v>
      </c>
      <c r="I201" s="14"/>
    </row>
    <row r="202" customFormat="false" ht="15" hidden="false" customHeight="true" outlineLevel="0" collapsed="false">
      <c r="A202" s="14"/>
      <c r="B202" s="14"/>
      <c r="C202" s="14"/>
      <c r="D202" s="14"/>
      <c r="E202" s="14"/>
      <c r="F202" s="18"/>
      <c r="G202" s="18"/>
      <c r="H202" s="18" t="n">
        <f aca="false">H201+F202-G202</f>
        <v>5690</v>
      </c>
      <c r="I202" s="14"/>
    </row>
    <row r="203" customFormat="false" ht="15" hidden="false" customHeight="true" outlineLevel="0" collapsed="false">
      <c r="A203" s="14"/>
      <c r="B203" s="14"/>
      <c r="C203" s="14"/>
      <c r="D203" s="14"/>
      <c r="E203" s="14"/>
      <c r="F203" s="18"/>
      <c r="G203" s="18"/>
      <c r="H203" s="18" t="n">
        <f aca="false">H202+F203-G203</f>
        <v>5690</v>
      </c>
      <c r="I203" s="14"/>
    </row>
    <row r="204" customFormat="false" ht="15" hidden="false" customHeight="true" outlineLevel="0" collapsed="false">
      <c r="A204" s="14"/>
      <c r="B204" s="14"/>
      <c r="C204" s="14"/>
      <c r="D204" s="14"/>
      <c r="E204" s="14"/>
      <c r="F204" s="18"/>
      <c r="G204" s="18"/>
      <c r="H204" s="18" t="n">
        <f aca="false">H203+F204-G204</f>
        <v>5690</v>
      </c>
      <c r="I204" s="14"/>
    </row>
    <row r="205" customFormat="false" ht="15" hidden="false" customHeight="true" outlineLevel="0" collapsed="false">
      <c r="A205" s="14"/>
      <c r="B205" s="14"/>
      <c r="C205" s="14"/>
      <c r="D205" s="14"/>
      <c r="E205" s="14"/>
      <c r="F205" s="18"/>
      <c r="G205" s="18"/>
      <c r="H205" s="18" t="n">
        <f aca="false">H204+F205-G205</f>
        <v>5690</v>
      </c>
      <c r="I205" s="14"/>
    </row>
  </sheetData>
  <mergeCells count="1">
    <mergeCell ref="A1:I1"/>
  </mergeCells>
  <dataValidations count="3">
    <dataValidation allowBlank="true" errorStyle="stop" operator="between" showDropDown="false" showErrorMessage="false" showInputMessage="false" sqref="B5:B205" type="list">
      <formula1>"A,B,C,ALL"</formula1>
      <formula2>0</formula2>
    </dataValidation>
    <dataValidation allowBlank="true" errorStyle="stop" operator="between" showDropDown="false" showErrorMessage="false" showInputMessage="false" sqref="C5:C205" type="list">
      <formula1>"INCOME,EXPENSE,TRANSFER"</formula1>
      <formula2>0</formula2>
    </dataValidation>
    <dataValidation allowBlank="true" errorStyle="stop" operator="between" showDropDown="false" showErrorMessage="false" showInputMessage="false" sqref="D5:D205" type="list">
      <formula1>"Sales,Inventory,Travel,Marketing,Operating,Setup,Capital,Other"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6" min="4" style="1" width="12"/>
  </cols>
  <sheetData>
    <row r="1" customFormat="false" ht="19.5" hidden="false" customHeight="true" outlineLevel="0" collapsed="false">
      <c r="A1" s="26" t="s">
        <v>232</v>
      </c>
      <c r="B1" s="26"/>
      <c r="C1" s="26"/>
      <c r="D1" s="26"/>
      <c r="E1" s="26"/>
      <c r="F1" s="26"/>
    </row>
    <row r="3" customFormat="false" ht="15" hidden="false" customHeight="true" outlineLevel="0" collapsed="false">
      <c r="A3" s="16" t="s">
        <v>233</v>
      </c>
    </row>
    <row r="4" customFormat="false" ht="15" hidden="false" customHeight="true" outlineLevel="0" collapsed="false">
      <c r="A4" s="3" t="s">
        <v>234</v>
      </c>
      <c r="B4" s="3" t="s">
        <v>235</v>
      </c>
      <c r="C4" s="3" t="s">
        <v>236</v>
      </c>
      <c r="D4" s="3" t="s">
        <v>237</v>
      </c>
      <c r="E4" s="3" t="s">
        <v>6</v>
      </c>
      <c r="F4" s="3" t="s">
        <v>238</v>
      </c>
    </row>
    <row r="5" customFormat="false" ht="15" hidden="false" customHeight="true" outlineLevel="0" collapsed="false">
      <c r="A5" s="30" t="s">
        <v>239</v>
      </c>
      <c r="B5" s="18" t="n">
        <f aca="false">SUMIF(Transaction_Book!B:B,"A",Transaction_Book!F:F)</f>
        <v>160</v>
      </c>
      <c r="C5" s="18" t="n">
        <f aca="false">SUMIF(Transaction_Book!B:B,"A",Transaction_Book!G:G)</f>
        <v>3530</v>
      </c>
      <c r="D5" s="18" t="n">
        <f aca="false">B5-C5</f>
        <v>-3370</v>
      </c>
      <c r="E5" s="18" t="n">
        <v>5500</v>
      </c>
      <c r="F5" s="18" t="n">
        <f aca="false">E5-C5</f>
        <v>1970</v>
      </c>
    </row>
    <row r="6" customFormat="false" ht="15" hidden="false" customHeight="true" outlineLevel="0" collapsed="false">
      <c r="A6" s="31" t="s">
        <v>240</v>
      </c>
      <c r="B6" s="18" t="n">
        <f aca="false">SUMIF(Transaction_Book!B:B,"B",Transaction_Book!F:F)</f>
        <v>120</v>
      </c>
      <c r="C6" s="18" t="n">
        <f aca="false">SUMIF(Transaction_Book!B:B,"B",Transaction_Book!G:G)</f>
        <v>300</v>
      </c>
      <c r="D6" s="18" t="n">
        <f aca="false">B6-C6</f>
        <v>-180</v>
      </c>
      <c r="E6" s="18" t="n">
        <v>1000</v>
      </c>
      <c r="F6" s="18" t="n">
        <f aca="false">E6-C6</f>
        <v>700</v>
      </c>
    </row>
    <row r="7" customFormat="false" ht="15" hidden="false" customHeight="true" outlineLevel="0" collapsed="false">
      <c r="A7" s="32" t="s">
        <v>241</v>
      </c>
      <c r="B7" s="18" t="n">
        <f aca="false">SUMIF(Transaction_Book!B:B,"C",Transaction_Book!F:F)</f>
        <v>0</v>
      </c>
      <c r="C7" s="18" t="n">
        <f aca="false">SUMIF(Transaction_Book!B:B,"C",Transaction_Book!G:G)</f>
        <v>0</v>
      </c>
      <c r="D7" s="18" t="n">
        <f aca="false">B7-C7</f>
        <v>0</v>
      </c>
      <c r="E7" s="18" t="n">
        <v>0</v>
      </c>
      <c r="F7" s="18" t="n">
        <f aca="false">E7-C7</f>
        <v>0</v>
      </c>
    </row>
    <row r="8" customFormat="false" ht="15" hidden="false" customHeight="true" outlineLevel="0" collapsed="false">
      <c r="A8" s="18" t="s">
        <v>242</v>
      </c>
      <c r="B8" s="18" t="n">
        <f aca="false">SUMIF(Transaction_Book!B:B,"ALL",Transaction_Book!F:F)</f>
        <v>10000</v>
      </c>
      <c r="C8" s="18" t="n">
        <f aca="false">SUMIF(Transaction_Book!B:B,"ALL",Transaction_Book!G:G)</f>
        <v>760</v>
      </c>
      <c r="D8" s="18" t="n">
        <f aca="false">B8-C8</f>
        <v>9240</v>
      </c>
      <c r="E8" s="18" t="n">
        <v>3500</v>
      </c>
      <c r="F8" s="18" t="n">
        <f aca="false">E8-C8</f>
        <v>2740</v>
      </c>
    </row>
    <row r="9" customFormat="false" ht="15" hidden="false" customHeight="true" outlineLevel="0" collapsed="false">
      <c r="A9" s="33" t="s">
        <v>243</v>
      </c>
      <c r="B9" s="33" t="n">
        <f aca="false">SUM(B5:B8)</f>
        <v>10280</v>
      </c>
      <c r="C9" s="33" t="n">
        <f aca="false">SUM(C5:C8)</f>
        <v>4590</v>
      </c>
      <c r="D9" s="33" t="n">
        <f aca="false">B9-C9</f>
        <v>5690</v>
      </c>
      <c r="E9" s="33" t="n">
        <v>10000</v>
      </c>
      <c r="F9" s="33" t="n">
        <f aca="false">E9-C9</f>
        <v>5410</v>
      </c>
    </row>
    <row r="12" customFormat="false" ht="15" hidden="false" customHeight="true" outlineLevel="0" collapsed="false">
      <c r="A12" s="16" t="s">
        <v>244</v>
      </c>
    </row>
    <row r="13" customFormat="false" ht="15" hidden="false" customHeight="true" outlineLevel="0" collapsed="false">
      <c r="A13" s="17" t="s">
        <v>245</v>
      </c>
      <c r="B13" s="19" t="n">
        <f aca="false">Transaction_Book!H205</f>
        <v>5690</v>
      </c>
    </row>
    <row r="14" customFormat="false" ht="15" hidden="false" customHeight="true" outlineLevel="0" collapsed="false">
      <c r="A14" s="17" t="s">
        <v>246</v>
      </c>
      <c r="B14" s="18" t="n">
        <v>3000</v>
      </c>
    </row>
    <row r="15" customFormat="false" ht="15" hidden="false" customHeight="true" outlineLevel="0" collapsed="false">
      <c r="A15" s="17" t="s">
        <v>247</v>
      </c>
      <c r="B15" s="18" t="str">
        <f aca="false">IF(B13&gt;=B14,"OK","WARNING")</f>
        <v>OK</v>
      </c>
    </row>
    <row r="16" customFormat="false" ht="15" hidden="false" customHeight="true" outlineLevel="0" collapsed="false">
      <c r="A16" s="17" t="s">
        <v>248</v>
      </c>
      <c r="B16" s="18" t="n">
        <f aca="false">B9</f>
        <v>10280</v>
      </c>
    </row>
    <row r="17" customFormat="false" ht="15" hidden="false" customHeight="true" outlineLevel="0" collapsed="false">
      <c r="A17" s="17" t="s">
        <v>249</v>
      </c>
      <c r="B17" s="18" t="n">
        <f aca="false">C9</f>
        <v>4590</v>
      </c>
    </row>
    <row r="18" customFormat="false" ht="15" hidden="false" customHeight="true" outlineLevel="0" collapsed="false">
      <c r="A18" s="17" t="s">
        <v>250</v>
      </c>
      <c r="B18" s="19" t="n">
        <f aca="false">D9</f>
        <v>5690</v>
      </c>
    </row>
    <row r="21" customFormat="false" ht="15" hidden="false" customHeight="true" outlineLevel="0" collapsed="false">
      <c r="A21" s="16" t="s">
        <v>251</v>
      </c>
    </row>
    <row r="22" customFormat="false" ht="15" hidden="false" customHeight="true" outlineLevel="0" collapsed="false">
      <c r="A22" s="3" t="s">
        <v>7</v>
      </c>
      <c r="B22" s="3" t="s">
        <v>252</v>
      </c>
      <c r="C22" s="3" t="s">
        <v>8</v>
      </c>
      <c r="D22" s="3" t="s">
        <v>190</v>
      </c>
    </row>
    <row r="23" customFormat="false" ht="15" hidden="false" customHeight="true" outlineLevel="0" collapsed="false">
      <c r="A23" s="18" t="s">
        <v>253</v>
      </c>
      <c r="B23" s="18" t="s">
        <v>254</v>
      </c>
      <c r="C23" s="14"/>
      <c r="D23" s="14"/>
    </row>
    <row r="24" customFormat="false" ht="15" hidden="false" customHeight="true" outlineLevel="0" collapsed="false">
      <c r="A24" s="18" t="s">
        <v>255</v>
      </c>
      <c r="B24" s="18" t="s">
        <v>256</v>
      </c>
      <c r="C24" s="14"/>
      <c r="D24" s="14"/>
    </row>
    <row r="25" customFormat="false" ht="15" hidden="false" customHeight="true" outlineLevel="0" collapsed="false">
      <c r="A25" s="18" t="s">
        <v>257</v>
      </c>
      <c r="B25" s="18" t="s">
        <v>258</v>
      </c>
      <c r="C25" s="14"/>
      <c r="D25" s="14"/>
    </row>
    <row r="26" customFormat="false" ht="15" hidden="false" customHeight="true" outlineLevel="0" collapsed="false">
      <c r="A26" s="18" t="s">
        <v>259</v>
      </c>
      <c r="B26" s="18" t="s">
        <v>260</v>
      </c>
      <c r="C26" s="14"/>
      <c r="D26" s="14"/>
    </row>
    <row r="27" customFormat="false" ht="15" hidden="false" customHeight="true" outlineLevel="0" collapsed="false">
      <c r="A27" s="18" t="s">
        <v>261</v>
      </c>
      <c r="B27" s="18" t="s">
        <v>71</v>
      </c>
      <c r="C27" s="14"/>
      <c r="D27" s="14"/>
    </row>
  </sheetData>
  <mergeCells count="1">
    <mergeCell ref="A1:F1"/>
  </mergeCells>
  <dataValidations count="1">
    <dataValidation allowBlank="true" errorStyle="stop" operator="between" showDropDown="false" showErrorMessage="false" showInputMessage="false" sqref="C23:C27" type="list">
      <formula1>"NOT STARTED,IN PROGRESS,PASSED,FAILED"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0"/>
  </cols>
  <sheetData>
    <row r="1" customFormat="false" ht="19.5" hidden="false" customHeight="true" outlineLevel="0" collapsed="false">
      <c r="A1" s="34" t="s">
        <v>262</v>
      </c>
    </row>
    <row r="4" customFormat="false" ht="15" hidden="false" customHeight="true" outlineLevel="0" collapsed="false">
      <c r="A4" s="1" t="s">
        <v>263</v>
      </c>
    </row>
    <row r="5" customFormat="false" ht="15" hidden="false" customHeight="true" outlineLevel="0" collapsed="false">
      <c r="A5" s="1" t="s">
        <v>264</v>
      </c>
    </row>
    <row r="6" customFormat="false" ht="15" hidden="false" customHeight="true" outlineLevel="0" collapsed="false">
      <c r="A6" s="1" t="s">
        <v>265</v>
      </c>
    </row>
    <row r="8" customFormat="false" ht="15" hidden="false" customHeight="true" outlineLevel="0" collapsed="false">
      <c r="A8" s="1" t="s">
        <v>266</v>
      </c>
    </row>
    <row r="10" customFormat="false" ht="15" hidden="false" customHeight="true" outlineLevel="0" collapsed="false">
      <c r="A10" s="17" t="s">
        <v>267</v>
      </c>
    </row>
    <row r="11" customFormat="false" ht="15" hidden="false" customHeight="true" outlineLevel="0" collapsed="false">
      <c r="A11" s="1" t="s">
        <v>268</v>
      </c>
    </row>
    <row r="12" customFormat="false" ht="15" hidden="false" customHeight="true" outlineLevel="0" collapsed="false">
      <c r="A12" s="1" t="s">
        <v>269</v>
      </c>
    </row>
    <row r="13" customFormat="false" ht="15" hidden="false" customHeight="true" outlineLevel="0" collapsed="false">
      <c r="A13" s="1" t="s">
        <v>270</v>
      </c>
    </row>
    <row r="15" customFormat="false" ht="15" hidden="false" customHeight="true" outlineLevel="0" collapsed="false">
      <c r="A15" s="17" t="s">
        <v>271</v>
      </c>
    </row>
    <row r="16" customFormat="false" ht="15" hidden="false" customHeight="true" outlineLevel="0" collapsed="false">
      <c r="A16" s="1" t="s">
        <v>272</v>
      </c>
    </row>
    <row r="17" customFormat="false" ht="15" hidden="false" customHeight="true" outlineLevel="0" collapsed="false">
      <c r="A17" s="1" t="s">
        <v>273</v>
      </c>
    </row>
    <row r="18" customFormat="false" ht="15" hidden="false" customHeight="true" outlineLevel="0" collapsed="false">
      <c r="A18" s="1" t="s">
        <v>274</v>
      </c>
    </row>
    <row r="19" customFormat="false" ht="15" hidden="false" customHeight="true" outlineLevel="0" collapsed="false">
      <c r="A19" s="1" t="s">
        <v>275</v>
      </c>
    </row>
    <row r="21" customFormat="false" ht="15" hidden="false" customHeight="true" outlineLevel="0" collapsed="false">
      <c r="A21" s="17" t="s">
        <v>276</v>
      </c>
    </row>
    <row r="22" customFormat="false" ht="15" hidden="false" customHeight="true" outlineLevel="0" collapsed="false">
      <c r="A22" s="1" t="s">
        <v>277</v>
      </c>
    </row>
    <row r="23" customFormat="false" ht="15" hidden="false" customHeight="true" outlineLevel="0" collapsed="false">
      <c r="A23" s="1" t="s">
        <v>278</v>
      </c>
    </row>
    <row r="24" customFormat="false" ht="15" hidden="false" customHeight="true" outlineLevel="0" collapsed="false">
      <c r="A24" s="1" t="s">
        <v>279</v>
      </c>
    </row>
    <row r="25" customFormat="false" ht="15" hidden="false" customHeight="true" outlineLevel="0" collapsed="false">
      <c r="A25" s="1" t="s">
        <v>280</v>
      </c>
    </row>
    <row r="27" customFormat="false" ht="15" hidden="false" customHeight="true" outlineLevel="0" collapsed="false">
      <c r="A27" s="17" t="s">
        <v>281</v>
      </c>
    </row>
    <row r="28" customFormat="false" ht="15" hidden="false" customHeight="true" outlineLevel="0" collapsed="false">
      <c r="A28" s="1" t="s">
        <v>282</v>
      </c>
    </row>
    <row r="29" customFormat="false" ht="15" hidden="false" customHeight="true" outlineLevel="0" collapsed="false">
      <c r="A29" s="1" t="s">
        <v>283</v>
      </c>
    </row>
    <row r="30" customFormat="false" ht="15" hidden="false" customHeight="true" outlineLevel="0" collapsed="false">
      <c r="A30" s="1" t="s">
        <v>284</v>
      </c>
    </row>
    <row r="31" customFormat="false" ht="15" hidden="false" customHeight="true" outlineLevel="0" collapsed="false">
      <c r="A31" s="1" t="s">
        <v>285</v>
      </c>
    </row>
    <row r="33" customFormat="false" ht="15" hidden="false" customHeight="true" outlineLevel="0" collapsed="false">
      <c r="A33" s="1" t="s">
        <v>266</v>
      </c>
    </row>
    <row r="35" customFormat="false" ht="15" hidden="false" customHeight="true" outlineLevel="0" collapsed="false">
      <c r="A35" s="17" t="s">
        <v>286</v>
      </c>
    </row>
    <row r="36" customFormat="false" ht="15" hidden="false" customHeight="true" outlineLevel="0" collapsed="false">
      <c r="A36" s="1" t="s">
        <v>287</v>
      </c>
    </row>
    <row r="37" customFormat="false" ht="15" hidden="false" customHeight="true" outlineLevel="0" collapsed="false">
      <c r="A37" s="1" t="s">
        <v>288</v>
      </c>
    </row>
    <row r="38" customFormat="false" ht="15" hidden="false" customHeight="true" outlineLevel="0" collapsed="false">
      <c r="A38" s="1" t="s">
        <v>289</v>
      </c>
    </row>
    <row r="40" customFormat="false" ht="15" hidden="false" customHeight="true" outlineLevel="0" collapsed="false">
      <c r="A40" s="17" t="s">
        <v>290</v>
      </c>
    </row>
    <row r="41" customFormat="false" ht="15" hidden="false" customHeight="true" outlineLevel="0" collapsed="false">
      <c r="A41" s="1" t="s">
        <v>291</v>
      </c>
    </row>
    <row r="42" customFormat="false" ht="15" hidden="false" customHeight="true" outlineLevel="0" collapsed="false">
      <c r="A42" s="1" t="s">
        <v>292</v>
      </c>
    </row>
    <row r="43" customFormat="false" ht="15" hidden="false" customHeight="true" outlineLevel="0" collapsed="false">
      <c r="A43" s="1" t="s">
        <v>293</v>
      </c>
    </row>
    <row r="45" customFormat="false" ht="15" hidden="false" customHeight="true" outlineLevel="0" collapsed="false">
      <c r="A45" s="17" t="s">
        <v>294</v>
      </c>
    </row>
    <row r="46" customFormat="false" ht="15" hidden="false" customHeight="true" outlineLevel="0" collapsed="false">
      <c r="A46" s="1" t="s">
        <v>295</v>
      </c>
    </row>
    <row r="47" customFormat="false" ht="15" hidden="false" customHeight="true" outlineLevel="0" collapsed="false">
      <c r="A47" s="1" t="s">
        <v>296</v>
      </c>
    </row>
    <row r="48" customFormat="false" ht="15" hidden="false" customHeight="true" outlineLevel="0" collapsed="false">
      <c r="A48" s="1" t="s"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2025-12-21T13:58:50Z</dcterms:created>
  <dc:creator>openpyxl</dc:creator>
  <dc:description/>
  <dc:language>en-US</dc:language>
  <cp:lastModifiedBy/>
  <dcterms:modified xsi:type="dcterms:W3CDTF">2025-12-21T14:10:48Z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